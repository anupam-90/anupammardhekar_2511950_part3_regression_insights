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pam M\Downloads\"/>
    </mc:Choice>
  </mc:AlternateContent>
  <xr:revisionPtr revIDLastSave="0" documentId="13_ncr:1_{568C30BC-D2D9-4D37-810D-22197301EC15}" xr6:coauthVersionLast="47" xr6:coauthVersionMax="47" xr10:uidLastSave="{00000000-0000-0000-0000-000000000000}"/>
  <bookViews>
    <workbookView xWindow="-108" yWindow="-108" windowWidth="23256" windowHeight="13176" firstSheet="2" activeTab="7" xr2:uid="{00000000-000D-0000-FFFF-FFFF00000000}"/>
  </bookViews>
  <sheets>
    <sheet name="Original Data" sheetId="12" r:id="rId1"/>
    <sheet name="Cleaned Data" sheetId="1" r:id="rId2"/>
    <sheet name="SRMODEL 1" sheetId="3" r:id="rId3"/>
    <sheet name="SRMODEL 2" sheetId="10" r:id="rId4"/>
    <sheet name="MR Input" sheetId="7" r:id="rId5"/>
    <sheet name="MR Output" sheetId="8" r:id="rId6"/>
    <sheet name="Dummy Variables" sheetId="6" r:id="rId7"/>
    <sheet name="data_dictionary" sheetId="2" r:id="rId8"/>
  </sheets>
  <definedNames>
    <definedName name="_xlnm._FilterDatabase" localSheetId="1" hidden="1">'Cleaned Data'!$A$1:$N$321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6" l="1"/>
  <c r="B3" i="6"/>
  <c r="C3" i="6"/>
  <c r="D3" i="6"/>
  <c r="E3" i="6"/>
  <c r="F3" i="6"/>
  <c r="G3" i="6"/>
  <c r="H3" i="6"/>
  <c r="A4" i="6"/>
  <c r="B4" i="6"/>
  <c r="C4" i="6"/>
  <c r="D4" i="6"/>
  <c r="E4" i="6"/>
  <c r="F4" i="6"/>
  <c r="G4" i="6"/>
  <c r="H4" i="6"/>
  <c r="A5" i="6"/>
  <c r="B5" i="6"/>
  <c r="C5" i="6"/>
  <c r="D5" i="6"/>
  <c r="E5" i="6"/>
  <c r="F5" i="6"/>
  <c r="G5" i="6"/>
  <c r="H5" i="6"/>
  <c r="A6" i="6"/>
  <c r="B6" i="6"/>
  <c r="C6" i="6"/>
  <c r="D6" i="6"/>
  <c r="E6" i="6"/>
  <c r="F6" i="6"/>
  <c r="G6" i="6"/>
  <c r="H6" i="6"/>
  <c r="A7" i="6"/>
  <c r="B7" i="6"/>
  <c r="C7" i="6"/>
  <c r="D7" i="6"/>
  <c r="E7" i="6"/>
  <c r="F7" i="6"/>
  <c r="G7" i="6"/>
  <c r="H7" i="6"/>
  <c r="A8" i="6"/>
  <c r="B8" i="6"/>
  <c r="C8" i="6"/>
  <c r="D8" i="6"/>
  <c r="E8" i="6"/>
  <c r="F8" i="6"/>
  <c r="G8" i="6"/>
  <c r="H8" i="6"/>
  <c r="A9" i="6"/>
  <c r="B9" i="6"/>
  <c r="C9" i="6"/>
  <c r="D9" i="6"/>
  <c r="E9" i="6"/>
  <c r="F9" i="6"/>
  <c r="G9" i="6"/>
  <c r="H9" i="6"/>
  <c r="A10" i="6"/>
  <c r="B10" i="6"/>
  <c r="C10" i="6"/>
  <c r="D10" i="6"/>
  <c r="E10" i="6"/>
  <c r="F10" i="6"/>
  <c r="G10" i="6"/>
  <c r="H10" i="6"/>
  <c r="A11" i="6"/>
  <c r="B11" i="6"/>
  <c r="C11" i="6"/>
  <c r="D11" i="6"/>
  <c r="E11" i="6"/>
  <c r="F11" i="6"/>
  <c r="G11" i="6"/>
  <c r="H11" i="6"/>
  <c r="A12" i="6"/>
  <c r="B12" i="6"/>
  <c r="C12" i="6"/>
  <c r="D12" i="6"/>
  <c r="E12" i="6"/>
  <c r="F12" i="6"/>
  <c r="G12" i="6"/>
  <c r="H12" i="6"/>
  <c r="A13" i="6"/>
  <c r="B13" i="6"/>
  <c r="C13" i="6"/>
  <c r="D13" i="6"/>
  <c r="E13" i="6"/>
  <c r="F13" i="6"/>
  <c r="G13" i="6"/>
  <c r="H13" i="6"/>
  <c r="A14" i="6"/>
  <c r="B14" i="6"/>
  <c r="C14" i="6"/>
  <c r="D14" i="6"/>
  <c r="E14" i="6"/>
  <c r="F14" i="6"/>
  <c r="G14" i="6"/>
  <c r="H14" i="6"/>
  <c r="A15" i="6"/>
  <c r="B15" i="6"/>
  <c r="C15" i="6"/>
  <c r="D15" i="6"/>
  <c r="E15" i="6"/>
  <c r="F15" i="6"/>
  <c r="G15" i="6"/>
  <c r="H15" i="6"/>
  <c r="A16" i="6"/>
  <c r="B16" i="6"/>
  <c r="C16" i="6"/>
  <c r="D16" i="6"/>
  <c r="E16" i="6"/>
  <c r="F16" i="6"/>
  <c r="G16" i="6"/>
  <c r="H16" i="6"/>
  <c r="A17" i="6"/>
  <c r="B17" i="6"/>
  <c r="C17" i="6"/>
  <c r="D17" i="6"/>
  <c r="E17" i="6"/>
  <c r="F17" i="6"/>
  <c r="G17" i="6"/>
  <c r="H17" i="6"/>
  <c r="A18" i="6"/>
  <c r="B18" i="6"/>
  <c r="C18" i="6"/>
  <c r="D18" i="6"/>
  <c r="E18" i="6"/>
  <c r="F18" i="6"/>
  <c r="G18" i="6"/>
  <c r="H18" i="6"/>
  <c r="A19" i="6"/>
  <c r="B19" i="6"/>
  <c r="C19" i="6"/>
  <c r="D19" i="6"/>
  <c r="E19" i="6"/>
  <c r="F19" i="6"/>
  <c r="G19" i="6"/>
  <c r="H19" i="6"/>
  <c r="A20" i="6"/>
  <c r="B20" i="6"/>
  <c r="C20" i="6"/>
  <c r="D20" i="6"/>
  <c r="E20" i="6"/>
  <c r="F20" i="6"/>
  <c r="G20" i="6"/>
  <c r="H20" i="6"/>
  <c r="A21" i="6"/>
  <c r="B21" i="6"/>
  <c r="C21" i="6"/>
  <c r="D21" i="6"/>
  <c r="E21" i="6"/>
  <c r="F21" i="6"/>
  <c r="G21" i="6"/>
  <c r="H21" i="6"/>
  <c r="A22" i="6"/>
  <c r="B22" i="6"/>
  <c r="C22" i="6"/>
  <c r="D22" i="6"/>
  <c r="E22" i="6"/>
  <c r="F22" i="6"/>
  <c r="G22" i="6"/>
  <c r="H22" i="6"/>
  <c r="A23" i="6"/>
  <c r="B23" i="6"/>
  <c r="C23" i="6"/>
  <c r="D23" i="6"/>
  <c r="E23" i="6"/>
  <c r="F23" i="6"/>
  <c r="G23" i="6"/>
  <c r="H23" i="6"/>
  <c r="A24" i="6"/>
  <c r="B24" i="6"/>
  <c r="C24" i="6"/>
  <c r="D24" i="6"/>
  <c r="E24" i="6"/>
  <c r="F24" i="6"/>
  <c r="G24" i="6"/>
  <c r="H24" i="6"/>
  <c r="A25" i="6"/>
  <c r="B25" i="6"/>
  <c r="C25" i="6"/>
  <c r="D25" i="6"/>
  <c r="E25" i="6"/>
  <c r="F25" i="6"/>
  <c r="G25" i="6"/>
  <c r="H25" i="6"/>
  <c r="A26" i="6"/>
  <c r="B26" i="6"/>
  <c r="C26" i="6"/>
  <c r="D26" i="6"/>
  <c r="E26" i="6"/>
  <c r="F26" i="6"/>
  <c r="G26" i="6"/>
  <c r="H26" i="6"/>
  <c r="A27" i="6"/>
  <c r="B27" i="6"/>
  <c r="C27" i="6"/>
  <c r="D27" i="6"/>
  <c r="E27" i="6"/>
  <c r="F27" i="6"/>
  <c r="G27" i="6"/>
  <c r="H27" i="6"/>
  <c r="A28" i="6"/>
  <c r="B28" i="6"/>
  <c r="C28" i="6"/>
  <c r="D28" i="6"/>
  <c r="E28" i="6"/>
  <c r="F28" i="6"/>
  <c r="G28" i="6"/>
  <c r="H28" i="6"/>
  <c r="A29" i="6"/>
  <c r="B29" i="6"/>
  <c r="C29" i="6"/>
  <c r="D29" i="6"/>
  <c r="E29" i="6"/>
  <c r="F29" i="6"/>
  <c r="G29" i="6"/>
  <c r="H29" i="6"/>
  <c r="A30" i="6"/>
  <c r="B30" i="6"/>
  <c r="C30" i="6"/>
  <c r="D30" i="6"/>
  <c r="E30" i="6"/>
  <c r="F30" i="6"/>
  <c r="G30" i="6"/>
  <c r="H30" i="6"/>
  <c r="A31" i="6"/>
  <c r="B31" i="6"/>
  <c r="C31" i="6"/>
  <c r="D31" i="6"/>
  <c r="E31" i="6"/>
  <c r="F31" i="6"/>
  <c r="G31" i="6"/>
  <c r="H31" i="6"/>
  <c r="A32" i="6"/>
  <c r="B32" i="6"/>
  <c r="C32" i="6"/>
  <c r="D32" i="6"/>
  <c r="E32" i="6"/>
  <c r="F32" i="6"/>
  <c r="G32" i="6"/>
  <c r="H32" i="6"/>
  <c r="A33" i="6"/>
  <c r="B33" i="6"/>
  <c r="C33" i="6"/>
  <c r="D33" i="6"/>
  <c r="E33" i="6"/>
  <c r="F33" i="6"/>
  <c r="G33" i="6"/>
  <c r="H33" i="6"/>
  <c r="A34" i="6"/>
  <c r="B34" i="6"/>
  <c r="C34" i="6"/>
  <c r="D34" i="6"/>
  <c r="E34" i="6"/>
  <c r="F34" i="6"/>
  <c r="G34" i="6"/>
  <c r="H34" i="6"/>
  <c r="A35" i="6"/>
  <c r="B35" i="6"/>
  <c r="C35" i="6"/>
  <c r="D35" i="6"/>
  <c r="E35" i="6"/>
  <c r="F35" i="6"/>
  <c r="G35" i="6"/>
  <c r="H35" i="6"/>
  <c r="A36" i="6"/>
  <c r="B36" i="6"/>
  <c r="C36" i="6"/>
  <c r="D36" i="6"/>
  <c r="E36" i="6"/>
  <c r="F36" i="6"/>
  <c r="G36" i="6"/>
  <c r="H36" i="6"/>
  <c r="A37" i="6"/>
  <c r="B37" i="6"/>
  <c r="C37" i="6"/>
  <c r="D37" i="6"/>
  <c r="E37" i="6"/>
  <c r="F37" i="6"/>
  <c r="G37" i="6"/>
  <c r="H37" i="6"/>
  <c r="A38" i="6"/>
  <c r="B38" i="6"/>
  <c r="C38" i="6"/>
  <c r="D38" i="6"/>
  <c r="E38" i="6"/>
  <c r="F38" i="6"/>
  <c r="G38" i="6"/>
  <c r="H38" i="6"/>
  <c r="A39" i="6"/>
  <c r="B39" i="6"/>
  <c r="C39" i="6"/>
  <c r="D39" i="6"/>
  <c r="E39" i="6"/>
  <c r="F39" i="6"/>
  <c r="G39" i="6"/>
  <c r="H39" i="6"/>
  <c r="A40" i="6"/>
  <c r="B40" i="6"/>
  <c r="C40" i="6"/>
  <c r="D40" i="6"/>
  <c r="E40" i="6"/>
  <c r="F40" i="6"/>
  <c r="G40" i="6"/>
  <c r="H40" i="6"/>
  <c r="A41" i="6"/>
  <c r="B41" i="6"/>
  <c r="C41" i="6"/>
  <c r="D41" i="6"/>
  <c r="E41" i="6"/>
  <c r="F41" i="6"/>
  <c r="G41" i="6"/>
  <c r="H41" i="6"/>
  <c r="A42" i="6"/>
  <c r="B42" i="6"/>
  <c r="C42" i="6"/>
  <c r="D42" i="6"/>
  <c r="E42" i="6"/>
  <c r="F42" i="6"/>
  <c r="G42" i="6"/>
  <c r="H42" i="6"/>
  <c r="A43" i="6"/>
  <c r="B43" i="6"/>
  <c r="C43" i="6"/>
  <c r="D43" i="6"/>
  <c r="E43" i="6"/>
  <c r="F43" i="6"/>
  <c r="G43" i="6"/>
  <c r="H43" i="6"/>
  <c r="A44" i="6"/>
  <c r="B44" i="6"/>
  <c r="C44" i="6"/>
  <c r="D44" i="6"/>
  <c r="E44" i="6"/>
  <c r="F44" i="6"/>
  <c r="G44" i="6"/>
  <c r="H44" i="6"/>
  <c r="A45" i="6"/>
  <c r="B45" i="6"/>
  <c r="C45" i="6"/>
  <c r="D45" i="6"/>
  <c r="E45" i="6"/>
  <c r="F45" i="6"/>
  <c r="G45" i="6"/>
  <c r="H45" i="6"/>
  <c r="A46" i="6"/>
  <c r="B46" i="6"/>
  <c r="C46" i="6"/>
  <c r="D46" i="6"/>
  <c r="E46" i="6"/>
  <c r="F46" i="6"/>
  <c r="G46" i="6"/>
  <c r="H46" i="6"/>
  <c r="A47" i="6"/>
  <c r="B47" i="6"/>
  <c r="C47" i="6"/>
  <c r="D47" i="6"/>
  <c r="E47" i="6"/>
  <c r="F47" i="6"/>
  <c r="G47" i="6"/>
  <c r="H47" i="6"/>
  <c r="A48" i="6"/>
  <c r="B48" i="6"/>
  <c r="C48" i="6"/>
  <c r="D48" i="6"/>
  <c r="E48" i="6"/>
  <c r="F48" i="6"/>
  <c r="G48" i="6"/>
  <c r="H48" i="6"/>
  <c r="A49" i="6"/>
  <c r="B49" i="6"/>
  <c r="C49" i="6"/>
  <c r="D49" i="6"/>
  <c r="E49" i="6"/>
  <c r="F49" i="6"/>
  <c r="G49" i="6"/>
  <c r="H49" i="6"/>
  <c r="A50" i="6"/>
  <c r="B50" i="6"/>
  <c r="C50" i="6"/>
  <c r="D50" i="6"/>
  <c r="E50" i="6"/>
  <c r="F50" i="6"/>
  <c r="G50" i="6"/>
  <c r="H50" i="6"/>
  <c r="A51" i="6"/>
  <c r="B51" i="6"/>
  <c r="C51" i="6"/>
  <c r="D51" i="6"/>
  <c r="E51" i="6"/>
  <c r="F51" i="6"/>
  <c r="G51" i="6"/>
  <c r="H51" i="6"/>
  <c r="A52" i="6"/>
  <c r="B52" i="6"/>
  <c r="C52" i="6"/>
  <c r="D52" i="6"/>
  <c r="E52" i="6"/>
  <c r="F52" i="6"/>
  <c r="G52" i="6"/>
  <c r="H52" i="6"/>
  <c r="A53" i="6"/>
  <c r="B53" i="6"/>
  <c r="C53" i="6"/>
  <c r="D53" i="6"/>
  <c r="E53" i="6"/>
  <c r="F53" i="6"/>
  <c r="G53" i="6"/>
  <c r="H53" i="6"/>
  <c r="A54" i="6"/>
  <c r="B54" i="6"/>
  <c r="C54" i="6"/>
  <c r="D54" i="6"/>
  <c r="E54" i="6"/>
  <c r="F54" i="6"/>
  <c r="G54" i="6"/>
  <c r="H54" i="6"/>
  <c r="A55" i="6"/>
  <c r="B55" i="6"/>
  <c r="C55" i="6"/>
  <c r="D55" i="6"/>
  <c r="E55" i="6"/>
  <c r="F55" i="6"/>
  <c r="G55" i="6"/>
  <c r="H55" i="6"/>
  <c r="A56" i="6"/>
  <c r="B56" i="6"/>
  <c r="C56" i="6"/>
  <c r="D56" i="6"/>
  <c r="E56" i="6"/>
  <c r="F56" i="6"/>
  <c r="G56" i="6"/>
  <c r="H56" i="6"/>
  <c r="A57" i="6"/>
  <c r="B57" i="6"/>
  <c r="C57" i="6"/>
  <c r="D57" i="6"/>
  <c r="E57" i="6"/>
  <c r="F57" i="6"/>
  <c r="G57" i="6"/>
  <c r="H57" i="6"/>
  <c r="A58" i="6"/>
  <c r="B58" i="6"/>
  <c r="C58" i="6"/>
  <c r="D58" i="6"/>
  <c r="E58" i="6"/>
  <c r="F58" i="6"/>
  <c r="G58" i="6"/>
  <c r="H58" i="6"/>
  <c r="A59" i="6"/>
  <c r="B59" i="6"/>
  <c r="C59" i="6"/>
  <c r="D59" i="6"/>
  <c r="E59" i="6"/>
  <c r="F59" i="6"/>
  <c r="G59" i="6"/>
  <c r="H59" i="6"/>
  <c r="A60" i="6"/>
  <c r="B60" i="6"/>
  <c r="C60" i="6"/>
  <c r="D60" i="6"/>
  <c r="E60" i="6"/>
  <c r="F60" i="6"/>
  <c r="G60" i="6"/>
  <c r="H60" i="6"/>
  <c r="A61" i="6"/>
  <c r="B61" i="6"/>
  <c r="C61" i="6"/>
  <c r="D61" i="6"/>
  <c r="E61" i="6"/>
  <c r="F61" i="6"/>
  <c r="G61" i="6"/>
  <c r="H61" i="6"/>
  <c r="A62" i="6"/>
  <c r="B62" i="6"/>
  <c r="C62" i="6"/>
  <c r="D62" i="6"/>
  <c r="E62" i="6"/>
  <c r="F62" i="6"/>
  <c r="G62" i="6"/>
  <c r="H62" i="6"/>
  <c r="A63" i="6"/>
  <c r="B63" i="6"/>
  <c r="C63" i="6"/>
  <c r="D63" i="6"/>
  <c r="E63" i="6"/>
  <c r="F63" i="6"/>
  <c r="G63" i="6"/>
  <c r="H63" i="6"/>
  <c r="A64" i="6"/>
  <c r="B64" i="6"/>
  <c r="C64" i="6"/>
  <c r="D64" i="6"/>
  <c r="E64" i="6"/>
  <c r="F64" i="6"/>
  <c r="G64" i="6"/>
  <c r="H64" i="6"/>
  <c r="A65" i="6"/>
  <c r="B65" i="6"/>
  <c r="C65" i="6"/>
  <c r="D65" i="6"/>
  <c r="E65" i="6"/>
  <c r="F65" i="6"/>
  <c r="G65" i="6"/>
  <c r="H65" i="6"/>
  <c r="A66" i="6"/>
  <c r="B66" i="6"/>
  <c r="C66" i="6"/>
  <c r="D66" i="6"/>
  <c r="E66" i="6"/>
  <c r="F66" i="6"/>
  <c r="G66" i="6"/>
  <c r="H66" i="6"/>
  <c r="A67" i="6"/>
  <c r="B67" i="6"/>
  <c r="C67" i="6"/>
  <c r="D67" i="6"/>
  <c r="E67" i="6"/>
  <c r="F67" i="6"/>
  <c r="G67" i="6"/>
  <c r="H67" i="6"/>
  <c r="A68" i="6"/>
  <c r="B68" i="6"/>
  <c r="C68" i="6"/>
  <c r="D68" i="6"/>
  <c r="E68" i="6"/>
  <c r="F68" i="6"/>
  <c r="G68" i="6"/>
  <c r="H68" i="6"/>
  <c r="A69" i="6"/>
  <c r="B69" i="6"/>
  <c r="C69" i="6"/>
  <c r="D69" i="6"/>
  <c r="E69" i="6"/>
  <c r="F69" i="6"/>
  <c r="G69" i="6"/>
  <c r="H69" i="6"/>
  <c r="A70" i="6"/>
  <c r="B70" i="6"/>
  <c r="C70" i="6"/>
  <c r="D70" i="6"/>
  <c r="E70" i="6"/>
  <c r="F70" i="6"/>
  <c r="G70" i="6"/>
  <c r="H70" i="6"/>
  <c r="A71" i="6"/>
  <c r="B71" i="6"/>
  <c r="C71" i="6"/>
  <c r="D71" i="6"/>
  <c r="E71" i="6"/>
  <c r="F71" i="6"/>
  <c r="G71" i="6"/>
  <c r="H71" i="6"/>
  <c r="A72" i="6"/>
  <c r="B72" i="6"/>
  <c r="C72" i="6"/>
  <c r="D72" i="6"/>
  <c r="E72" i="6"/>
  <c r="F72" i="6"/>
  <c r="G72" i="6"/>
  <c r="H72" i="6"/>
  <c r="A73" i="6"/>
  <c r="B73" i="6"/>
  <c r="C73" i="6"/>
  <c r="D73" i="6"/>
  <c r="E73" i="6"/>
  <c r="F73" i="6"/>
  <c r="G73" i="6"/>
  <c r="H73" i="6"/>
  <c r="A74" i="6"/>
  <c r="B74" i="6"/>
  <c r="C74" i="6"/>
  <c r="D74" i="6"/>
  <c r="E74" i="6"/>
  <c r="F74" i="6"/>
  <c r="G74" i="6"/>
  <c r="H74" i="6"/>
  <c r="A75" i="6"/>
  <c r="B75" i="6"/>
  <c r="C75" i="6"/>
  <c r="D75" i="6"/>
  <c r="E75" i="6"/>
  <c r="F75" i="6"/>
  <c r="G75" i="6"/>
  <c r="H75" i="6"/>
  <c r="A76" i="6"/>
  <c r="B76" i="6"/>
  <c r="C76" i="6"/>
  <c r="D76" i="6"/>
  <c r="E76" i="6"/>
  <c r="F76" i="6"/>
  <c r="G76" i="6"/>
  <c r="H76" i="6"/>
  <c r="A77" i="6"/>
  <c r="B77" i="6"/>
  <c r="C77" i="6"/>
  <c r="D77" i="6"/>
  <c r="E77" i="6"/>
  <c r="F77" i="6"/>
  <c r="G77" i="6"/>
  <c r="H77" i="6"/>
  <c r="A78" i="6"/>
  <c r="B78" i="6"/>
  <c r="C78" i="6"/>
  <c r="D78" i="6"/>
  <c r="E78" i="6"/>
  <c r="F78" i="6"/>
  <c r="G78" i="6"/>
  <c r="H78" i="6"/>
  <c r="A79" i="6"/>
  <c r="B79" i="6"/>
  <c r="C79" i="6"/>
  <c r="D79" i="6"/>
  <c r="E79" i="6"/>
  <c r="F79" i="6"/>
  <c r="G79" i="6"/>
  <c r="H79" i="6"/>
  <c r="A80" i="6"/>
  <c r="B80" i="6"/>
  <c r="C80" i="6"/>
  <c r="D80" i="6"/>
  <c r="E80" i="6"/>
  <c r="F80" i="6"/>
  <c r="G80" i="6"/>
  <c r="H80" i="6"/>
  <c r="A81" i="6"/>
  <c r="B81" i="6"/>
  <c r="C81" i="6"/>
  <c r="D81" i="6"/>
  <c r="E81" i="6"/>
  <c r="F81" i="6"/>
  <c r="G81" i="6"/>
  <c r="H81" i="6"/>
  <c r="A82" i="6"/>
  <c r="B82" i="6"/>
  <c r="C82" i="6"/>
  <c r="D82" i="6"/>
  <c r="E82" i="6"/>
  <c r="F82" i="6"/>
  <c r="G82" i="6"/>
  <c r="H82" i="6"/>
  <c r="A83" i="6"/>
  <c r="B83" i="6"/>
  <c r="C83" i="6"/>
  <c r="D83" i="6"/>
  <c r="E83" i="6"/>
  <c r="F83" i="6"/>
  <c r="G83" i="6"/>
  <c r="H83" i="6"/>
  <c r="A84" i="6"/>
  <c r="B84" i="6"/>
  <c r="C84" i="6"/>
  <c r="D84" i="6"/>
  <c r="E84" i="6"/>
  <c r="F84" i="6"/>
  <c r="G84" i="6"/>
  <c r="H84" i="6"/>
  <c r="A85" i="6"/>
  <c r="B85" i="6"/>
  <c r="C85" i="6"/>
  <c r="D85" i="6"/>
  <c r="E85" i="6"/>
  <c r="F85" i="6"/>
  <c r="G85" i="6"/>
  <c r="H85" i="6"/>
  <c r="A86" i="6"/>
  <c r="B86" i="6"/>
  <c r="C86" i="6"/>
  <c r="D86" i="6"/>
  <c r="E86" i="6"/>
  <c r="F86" i="6"/>
  <c r="G86" i="6"/>
  <c r="H86" i="6"/>
  <c r="A87" i="6"/>
  <c r="B87" i="6"/>
  <c r="C87" i="6"/>
  <c r="D87" i="6"/>
  <c r="E87" i="6"/>
  <c r="F87" i="6"/>
  <c r="G87" i="6"/>
  <c r="H87" i="6"/>
  <c r="A88" i="6"/>
  <c r="B88" i="6"/>
  <c r="C88" i="6"/>
  <c r="D88" i="6"/>
  <c r="E88" i="6"/>
  <c r="F88" i="6"/>
  <c r="G88" i="6"/>
  <c r="H88" i="6"/>
  <c r="A89" i="6"/>
  <c r="B89" i="6"/>
  <c r="C89" i="6"/>
  <c r="D89" i="6"/>
  <c r="E89" i="6"/>
  <c r="F89" i="6"/>
  <c r="G89" i="6"/>
  <c r="H89" i="6"/>
  <c r="A90" i="6"/>
  <c r="B90" i="6"/>
  <c r="C90" i="6"/>
  <c r="D90" i="6"/>
  <c r="E90" i="6"/>
  <c r="F90" i="6"/>
  <c r="G90" i="6"/>
  <c r="H90" i="6"/>
  <c r="A91" i="6"/>
  <c r="B91" i="6"/>
  <c r="C91" i="6"/>
  <c r="D91" i="6"/>
  <c r="E91" i="6"/>
  <c r="F91" i="6"/>
  <c r="G91" i="6"/>
  <c r="H91" i="6"/>
  <c r="A92" i="6"/>
  <c r="B92" i="6"/>
  <c r="C92" i="6"/>
  <c r="D92" i="6"/>
  <c r="E92" i="6"/>
  <c r="F92" i="6"/>
  <c r="G92" i="6"/>
  <c r="H92" i="6"/>
  <c r="A93" i="6"/>
  <c r="B93" i="6"/>
  <c r="C93" i="6"/>
  <c r="D93" i="6"/>
  <c r="E93" i="6"/>
  <c r="F93" i="6"/>
  <c r="G93" i="6"/>
  <c r="H93" i="6"/>
  <c r="A94" i="6"/>
  <c r="B94" i="6"/>
  <c r="C94" i="6"/>
  <c r="D94" i="6"/>
  <c r="E94" i="6"/>
  <c r="F94" i="6"/>
  <c r="G94" i="6"/>
  <c r="H94" i="6"/>
  <c r="A95" i="6"/>
  <c r="B95" i="6"/>
  <c r="C95" i="6"/>
  <c r="D95" i="6"/>
  <c r="E95" i="6"/>
  <c r="F95" i="6"/>
  <c r="G95" i="6"/>
  <c r="H95" i="6"/>
  <c r="A96" i="6"/>
  <c r="B96" i="6"/>
  <c r="C96" i="6"/>
  <c r="D96" i="6"/>
  <c r="E96" i="6"/>
  <c r="F96" i="6"/>
  <c r="G96" i="6"/>
  <c r="H96" i="6"/>
  <c r="A97" i="6"/>
  <c r="B97" i="6"/>
  <c r="C97" i="6"/>
  <c r="D97" i="6"/>
  <c r="E97" i="6"/>
  <c r="F97" i="6"/>
  <c r="G97" i="6"/>
  <c r="H97" i="6"/>
  <c r="A98" i="6"/>
  <c r="B98" i="6"/>
  <c r="C98" i="6"/>
  <c r="D98" i="6"/>
  <c r="E98" i="6"/>
  <c r="F98" i="6"/>
  <c r="G98" i="6"/>
  <c r="H98" i="6"/>
  <c r="A99" i="6"/>
  <c r="B99" i="6"/>
  <c r="C99" i="6"/>
  <c r="D99" i="6"/>
  <c r="E99" i="6"/>
  <c r="F99" i="6"/>
  <c r="G99" i="6"/>
  <c r="H99" i="6"/>
  <c r="A100" i="6"/>
  <c r="B100" i="6"/>
  <c r="C100" i="6"/>
  <c r="D100" i="6"/>
  <c r="E100" i="6"/>
  <c r="F100" i="6"/>
  <c r="G100" i="6"/>
  <c r="H100" i="6"/>
  <c r="A101" i="6"/>
  <c r="B101" i="6"/>
  <c r="C101" i="6"/>
  <c r="D101" i="6"/>
  <c r="E101" i="6"/>
  <c r="F101" i="6"/>
  <c r="G101" i="6"/>
  <c r="H101" i="6"/>
  <c r="A102" i="6"/>
  <c r="B102" i="6"/>
  <c r="C102" i="6"/>
  <c r="D102" i="6"/>
  <c r="E102" i="6"/>
  <c r="F102" i="6"/>
  <c r="G102" i="6"/>
  <c r="H102" i="6"/>
  <c r="A103" i="6"/>
  <c r="B103" i="6"/>
  <c r="C103" i="6"/>
  <c r="D103" i="6"/>
  <c r="E103" i="6"/>
  <c r="F103" i="6"/>
  <c r="G103" i="6"/>
  <c r="H103" i="6"/>
  <c r="A104" i="6"/>
  <c r="B104" i="6"/>
  <c r="C104" i="6"/>
  <c r="D104" i="6"/>
  <c r="E104" i="6"/>
  <c r="F104" i="6"/>
  <c r="G104" i="6"/>
  <c r="H104" i="6"/>
  <c r="A105" i="6"/>
  <c r="B105" i="6"/>
  <c r="C105" i="6"/>
  <c r="D105" i="6"/>
  <c r="E105" i="6"/>
  <c r="F105" i="6"/>
  <c r="G105" i="6"/>
  <c r="H105" i="6"/>
  <c r="A106" i="6"/>
  <c r="B106" i="6"/>
  <c r="C106" i="6"/>
  <c r="D106" i="6"/>
  <c r="E106" i="6"/>
  <c r="F106" i="6"/>
  <c r="G106" i="6"/>
  <c r="H106" i="6"/>
  <c r="A107" i="6"/>
  <c r="B107" i="6"/>
  <c r="C107" i="6"/>
  <c r="D107" i="6"/>
  <c r="E107" i="6"/>
  <c r="F107" i="6"/>
  <c r="G107" i="6"/>
  <c r="H107" i="6"/>
  <c r="A108" i="6"/>
  <c r="B108" i="6"/>
  <c r="C108" i="6"/>
  <c r="D108" i="6"/>
  <c r="E108" i="6"/>
  <c r="F108" i="6"/>
  <c r="G108" i="6"/>
  <c r="H108" i="6"/>
  <c r="A109" i="6"/>
  <c r="B109" i="6"/>
  <c r="C109" i="6"/>
  <c r="D109" i="6"/>
  <c r="E109" i="6"/>
  <c r="F109" i="6"/>
  <c r="G109" i="6"/>
  <c r="H109" i="6"/>
  <c r="A110" i="6"/>
  <c r="B110" i="6"/>
  <c r="C110" i="6"/>
  <c r="D110" i="6"/>
  <c r="E110" i="6"/>
  <c r="F110" i="6"/>
  <c r="G110" i="6"/>
  <c r="H110" i="6"/>
  <c r="A111" i="6"/>
  <c r="B111" i="6"/>
  <c r="C111" i="6"/>
  <c r="D111" i="6"/>
  <c r="E111" i="6"/>
  <c r="F111" i="6"/>
  <c r="G111" i="6"/>
  <c r="H111" i="6"/>
  <c r="A112" i="6"/>
  <c r="B112" i="6"/>
  <c r="C112" i="6"/>
  <c r="D112" i="6"/>
  <c r="E112" i="6"/>
  <c r="F112" i="6"/>
  <c r="G112" i="6"/>
  <c r="H112" i="6"/>
  <c r="A113" i="6"/>
  <c r="B113" i="6"/>
  <c r="C113" i="6"/>
  <c r="D113" i="6"/>
  <c r="E113" i="6"/>
  <c r="F113" i="6"/>
  <c r="G113" i="6"/>
  <c r="H113" i="6"/>
  <c r="A114" i="6"/>
  <c r="B114" i="6"/>
  <c r="C114" i="6"/>
  <c r="D114" i="6"/>
  <c r="E114" i="6"/>
  <c r="F114" i="6"/>
  <c r="G114" i="6"/>
  <c r="H114" i="6"/>
  <c r="A115" i="6"/>
  <c r="B115" i="6"/>
  <c r="C115" i="6"/>
  <c r="D115" i="6"/>
  <c r="E115" i="6"/>
  <c r="F115" i="6"/>
  <c r="G115" i="6"/>
  <c r="H115" i="6"/>
  <c r="A116" i="6"/>
  <c r="B116" i="6"/>
  <c r="C116" i="6"/>
  <c r="D116" i="6"/>
  <c r="E116" i="6"/>
  <c r="F116" i="6"/>
  <c r="G116" i="6"/>
  <c r="H116" i="6"/>
  <c r="A117" i="6"/>
  <c r="B117" i="6"/>
  <c r="C117" i="6"/>
  <c r="D117" i="6"/>
  <c r="E117" i="6"/>
  <c r="F117" i="6"/>
  <c r="G117" i="6"/>
  <c r="H117" i="6"/>
  <c r="A118" i="6"/>
  <c r="B118" i="6"/>
  <c r="C118" i="6"/>
  <c r="D118" i="6"/>
  <c r="E118" i="6"/>
  <c r="F118" i="6"/>
  <c r="G118" i="6"/>
  <c r="H118" i="6"/>
  <c r="A119" i="6"/>
  <c r="B119" i="6"/>
  <c r="C119" i="6"/>
  <c r="D119" i="6"/>
  <c r="E119" i="6"/>
  <c r="F119" i="6"/>
  <c r="G119" i="6"/>
  <c r="H119" i="6"/>
  <c r="A120" i="6"/>
  <c r="B120" i="6"/>
  <c r="C120" i="6"/>
  <c r="D120" i="6"/>
  <c r="E120" i="6"/>
  <c r="F120" i="6"/>
  <c r="G120" i="6"/>
  <c r="H120" i="6"/>
  <c r="A121" i="6"/>
  <c r="B121" i="6"/>
  <c r="C121" i="6"/>
  <c r="D121" i="6"/>
  <c r="E121" i="6"/>
  <c r="F121" i="6"/>
  <c r="G121" i="6"/>
  <c r="H121" i="6"/>
  <c r="A122" i="6"/>
  <c r="B122" i="6"/>
  <c r="C122" i="6"/>
  <c r="D122" i="6"/>
  <c r="E122" i="6"/>
  <c r="F122" i="6"/>
  <c r="G122" i="6"/>
  <c r="H122" i="6"/>
  <c r="A123" i="6"/>
  <c r="B123" i="6"/>
  <c r="C123" i="6"/>
  <c r="D123" i="6"/>
  <c r="E123" i="6"/>
  <c r="F123" i="6"/>
  <c r="G123" i="6"/>
  <c r="H123" i="6"/>
  <c r="A124" i="6"/>
  <c r="B124" i="6"/>
  <c r="C124" i="6"/>
  <c r="D124" i="6"/>
  <c r="E124" i="6"/>
  <c r="F124" i="6"/>
  <c r="G124" i="6"/>
  <c r="H124" i="6"/>
  <c r="A125" i="6"/>
  <c r="B125" i="6"/>
  <c r="C125" i="6"/>
  <c r="D125" i="6"/>
  <c r="E125" i="6"/>
  <c r="F125" i="6"/>
  <c r="G125" i="6"/>
  <c r="H125" i="6"/>
  <c r="A126" i="6"/>
  <c r="B126" i="6"/>
  <c r="C126" i="6"/>
  <c r="D126" i="6"/>
  <c r="E126" i="6"/>
  <c r="F126" i="6"/>
  <c r="G126" i="6"/>
  <c r="H126" i="6"/>
  <c r="A127" i="6"/>
  <c r="B127" i="6"/>
  <c r="C127" i="6"/>
  <c r="D127" i="6"/>
  <c r="E127" i="6"/>
  <c r="F127" i="6"/>
  <c r="G127" i="6"/>
  <c r="H127" i="6"/>
  <c r="A128" i="6"/>
  <c r="B128" i="6"/>
  <c r="C128" i="6"/>
  <c r="D128" i="6"/>
  <c r="E128" i="6"/>
  <c r="F128" i="6"/>
  <c r="G128" i="6"/>
  <c r="H128" i="6"/>
  <c r="A129" i="6"/>
  <c r="B129" i="6"/>
  <c r="C129" i="6"/>
  <c r="D129" i="6"/>
  <c r="E129" i="6"/>
  <c r="F129" i="6"/>
  <c r="G129" i="6"/>
  <c r="H129" i="6"/>
  <c r="A130" i="6"/>
  <c r="B130" i="6"/>
  <c r="C130" i="6"/>
  <c r="D130" i="6"/>
  <c r="E130" i="6"/>
  <c r="F130" i="6"/>
  <c r="G130" i="6"/>
  <c r="H130" i="6"/>
  <c r="A131" i="6"/>
  <c r="B131" i="6"/>
  <c r="C131" i="6"/>
  <c r="D131" i="6"/>
  <c r="E131" i="6"/>
  <c r="F131" i="6"/>
  <c r="G131" i="6"/>
  <c r="H131" i="6"/>
  <c r="A132" i="6"/>
  <c r="B132" i="6"/>
  <c r="C132" i="6"/>
  <c r="D132" i="6"/>
  <c r="E132" i="6"/>
  <c r="F132" i="6"/>
  <c r="G132" i="6"/>
  <c r="H132" i="6"/>
  <c r="A133" i="6"/>
  <c r="B133" i="6"/>
  <c r="C133" i="6"/>
  <c r="D133" i="6"/>
  <c r="E133" i="6"/>
  <c r="F133" i="6"/>
  <c r="G133" i="6"/>
  <c r="H133" i="6"/>
  <c r="A134" i="6"/>
  <c r="B134" i="6"/>
  <c r="C134" i="6"/>
  <c r="D134" i="6"/>
  <c r="E134" i="6"/>
  <c r="F134" i="6"/>
  <c r="G134" i="6"/>
  <c r="H134" i="6"/>
  <c r="A135" i="6"/>
  <c r="B135" i="6"/>
  <c r="C135" i="6"/>
  <c r="D135" i="6"/>
  <c r="E135" i="6"/>
  <c r="F135" i="6"/>
  <c r="G135" i="6"/>
  <c r="H135" i="6"/>
  <c r="A136" i="6"/>
  <c r="B136" i="6"/>
  <c r="C136" i="6"/>
  <c r="D136" i="6"/>
  <c r="E136" i="6"/>
  <c r="F136" i="6"/>
  <c r="G136" i="6"/>
  <c r="H136" i="6"/>
  <c r="A137" i="6"/>
  <c r="B137" i="6"/>
  <c r="C137" i="6"/>
  <c r="D137" i="6"/>
  <c r="E137" i="6"/>
  <c r="F137" i="6"/>
  <c r="G137" i="6"/>
  <c r="H137" i="6"/>
  <c r="A138" i="6"/>
  <c r="B138" i="6"/>
  <c r="C138" i="6"/>
  <c r="D138" i="6"/>
  <c r="E138" i="6"/>
  <c r="F138" i="6"/>
  <c r="G138" i="6"/>
  <c r="H138" i="6"/>
  <c r="A139" i="6"/>
  <c r="B139" i="6"/>
  <c r="C139" i="6"/>
  <c r="D139" i="6"/>
  <c r="E139" i="6"/>
  <c r="F139" i="6"/>
  <c r="G139" i="6"/>
  <c r="H139" i="6"/>
  <c r="A140" i="6"/>
  <c r="B140" i="6"/>
  <c r="C140" i="6"/>
  <c r="D140" i="6"/>
  <c r="E140" i="6"/>
  <c r="F140" i="6"/>
  <c r="G140" i="6"/>
  <c r="H140" i="6"/>
  <c r="A141" i="6"/>
  <c r="B141" i="6"/>
  <c r="C141" i="6"/>
  <c r="D141" i="6"/>
  <c r="E141" i="6"/>
  <c r="F141" i="6"/>
  <c r="G141" i="6"/>
  <c r="H141" i="6"/>
  <c r="A142" i="6"/>
  <c r="B142" i="6"/>
  <c r="C142" i="6"/>
  <c r="D142" i="6"/>
  <c r="E142" i="6"/>
  <c r="F142" i="6"/>
  <c r="G142" i="6"/>
  <c r="H142" i="6"/>
  <c r="A143" i="6"/>
  <c r="B143" i="6"/>
  <c r="C143" i="6"/>
  <c r="D143" i="6"/>
  <c r="E143" i="6"/>
  <c r="F143" i="6"/>
  <c r="G143" i="6"/>
  <c r="H143" i="6"/>
  <c r="A144" i="6"/>
  <c r="B144" i="6"/>
  <c r="C144" i="6"/>
  <c r="D144" i="6"/>
  <c r="E144" i="6"/>
  <c r="F144" i="6"/>
  <c r="G144" i="6"/>
  <c r="H144" i="6"/>
  <c r="A145" i="6"/>
  <c r="B145" i="6"/>
  <c r="C145" i="6"/>
  <c r="D145" i="6"/>
  <c r="E145" i="6"/>
  <c r="F145" i="6"/>
  <c r="G145" i="6"/>
  <c r="H145" i="6"/>
  <c r="A146" i="6"/>
  <c r="B146" i="6"/>
  <c r="C146" i="6"/>
  <c r="D146" i="6"/>
  <c r="E146" i="6"/>
  <c r="F146" i="6"/>
  <c r="G146" i="6"/>
  <c r="H146" i="6"/>
  <c r="A147" i="6"/>
  <c r="B147" i="6"/>
  <c r="C147" i="6"/>
  <c r="D147" i="6"/>
  <c r="E147" i="6"/>
  <c r="F147" i="6"/>
  <c r="G147" i="6"/>
  <c r="H147" i="6"/>
  <c r="A148" i="6"/>
  <c r="B148" i="6"/>
  <c r="C148" i="6"/>
  <c r="D148" i="6"/>
  <c r="E148" i="6"/>
  <c r="F148" i="6"/>
  <c r="G148" i="6"/>
  <c r="H148" i="6"/>
  <c r="A149" i="6"/>
  <c r="B149" i="6"/>
  <c r="C149" i="6"/>
  <c r="D149" i="6"/>
  <c r="E149" i="6"/>
  <c r="F149" i="6"/>
  <c r="G149" i="6"/>
  <c r="H149" i="6"/>
  <c r="A150" i="6"/>
  <c r="B150" i="6"/>
  <c r="C150" i="6"/>
  <c r="D150" i="6"/>
  <c r="E150" i="6"/>
  <c r="F150" i="6"/>
  <c r="G150" i="6"/>
  <c r="H150" i="6"/>
  <c r="A151" i="6"/>
  <c r="B151" i="6"/>
  <c r="C151" i="6"/>
  <c r="D151" i="6"/>
  <c r="E151" i="6"/>
  <c r="F151" i="6"/>
  <c r="G151" i="6"/>
  <c r="H151" i="6"/>
  <c r="A152" i="6"/>
  <c r="B152" i="6"/>
  <c r="C152" i="6"/>
  <c r="D152" i="6"/>
  <c r="E152" i="6"/>
  <c r="F152" i="6"/>
  <c r="G152" i="6"/>
  <c r="H152" i="6"/>
  <c r="A153" i="6"/>
  <c r="B153" i="6"/>
  <c r="C153" i="6"/>
  <c r="D153" i="6"/>
  <c r="E153" i="6"/>
  <c r="F153" i="6"/>
  <c r="G153" i="6"/>
  <c r="H153" i="6"/>
  <c r="A154" i="6"/>
  <c r="B154" i="6"/>
  <c r="C154" i="6"/>
  <c r="D154" i="6"/>
  <c r="E154" i="6"/>
  <c r="F154" i="6"/>
  <c r="G154" i="6"/>
  <c r="H154" i="6"/>
  <c r="A155" i="6"/>
  <c r="B155" i="6"/>
  <c r="C155" i="6"/>
  <c r="D155" i="6"/>
  <c r="E155" i="6"/>
  <c r="F155" i="6"/>
  <c r="G155" i="6"/>
  <c r="H155" i="6"/>
  <c r="A156" i="6"/>
  <c r="B156" i="6"/>
  <c r="C156" i="6"/>
  <c r="D156" i="6"/>
  <c r="E156" i="6"/>
  <c r="F156" i="6"/>
  <c r="G156" i="6"/>
  <c r="H156" i="6"/>
  <c r="A157" i="6"/>
  <c r="B157" i="6"/>
  <c r="C157" i="6"/>
  <c r="D157" i="6"/>
  <c r="E157" i="6"/>
  <c r="F157" i="6"/>
  <c r="G157" i="6"/>
  <c r="H157" i="6"/>
  <c r="A158" i="6"/>
  <c r="B158" i="6"/>
  <c r="C158" i="6"/>
  <c r="D158" i="6"/>
  <c r="E158" i="6"/>
  <c r="F158" i="6"/>
  <c r="G158" i="6"/>
  <c r="H158" i="6"/>
  <c r="A159" i="6"/>
  <c r="B159" i="6"/>
  <c r="C159" i="6"/>
  <c r="D159" i="6"/>
  <c r="E159" i="6"/>
  <c r="F159" i="6"/>
  <c r="G159" i="6"/>
  <c r="H159" i="6"/>
  <c r="A160" i="6"/>
  <c r="B160" i="6"/>
  <c r="C160" i="6"/>
  <c r="D160" i="6"/>
  <c r="E160" i="6"/>
  <c r="F160" i="6"/>
  <c r="G160" i="6"/>
  <c r="H160" i="6"/>
  <c r="A161" i="6"/>
  <c r="B161" i="6"/>
  <c r="C161" i="6"/>
  <c r="D161" i="6"/>
  <c r="E161" i="6"/>
  <c r="F161" i="6"/>
  <c r="G161" i="6"/>
  <c r="H161" i="6"/>
  <c r="A162" i="6"/>
  <c r="B162" i="6"/>
  <c r="C162" i="6"/>
  <c r="D162" i="6"/>
  <c r="E162" i="6"/>
  <c r="F162" i="6"/>
  <c r="G162" i="6"/>
  <c r="H162" i="6"/>
  <c r="A163" i="6"/>
  <c r="B163" i="6"/>
  <c r="C163" i="6"/>
  <c r="D163" i="6"/>
  <c r="E163" i="6"/>
  <c r="F163" i="6"/>
  <c r="G163" i="6"/>
  <c r="H163" i="6"/>
  <c r="A164" i="6"/>
  <c r="B164" i="6"/>
  <c r="C164" i="6"/>
  <c r="D164" i="6"/>
  <c r="E164" i="6"/>
  <c r="F164" i="6"/>
  <c r="G164" i="6"/>
  <c r="H164" i="6"/>
  <c r="A165" i="6"/>
  <c r="B165" i="6"/>
  <c r="C165" i="6"/>
  <c r="D165" i="6"/>
  <c r="E165" i="6"/>
  <c r="F165" i="6"/>
  <c r="G165" i="6"/>
  <c r="H165" i="6"/>
  <c r="A166" i="6"/>
  <c r="B166" i="6"/>
  <c r="C166" i="6"/>
  <c r="D166" i="6"/>
  <c r="E166" i="6"/>
  <c r="F166" i="6"/>
  <c r="G166" i="6"/>
  <c r="H166" i="6"/>
  <c r="A167" i="6"/>
  <c r="B167" i="6"/>
  <c r="C167" i="6"/>
  <c r="D167" i="6"/>
  <c r="E167" i="6"/>
  <c r="F167" i="6"/>
  <c r="G167" i="6"/>
  <c r="H167" i="6"/>
  <c r="A168" i="6"/>
  <c r="B168" i="6"/>
  <c r="C168" i="6"/>
  <c r="D168" i="6"/>
  <c r="E168" i="6"/>
  <c r="F168" i="6"/>
  <c r="G168" i="6"/>
  <c r="H168" i="6"/>
  <c r="A169" i="6"/>
  <c r="B169" i="6"/>
  <c r="C169" i="6"/>
  <c r="D169" i="6"/>
  <c r="E169" i="6"/>
  <c r="F169" i="6"/>
  <c r="G169" i="6"/>
  <c r="H169" i="6"/>
  <c r="A170" i="6"/>
  <c r="B170" i="6"/>
  <c r="C170" i="6"/>
  <c r="D170" i="6"/>
  <c r="E170" i="6"/>
  <c r="F170" i="6"/>
  <c r="G170" i="6"/>
  <c r="H170" i="6"/>
  <c r="A171" i="6"/>
  <c r="B171" i="6"/>
  <c r="C171" i="6"/>
  <c r="D171" i="6"/>
  <c r="E171" i="6"/>
  <c r="F171" i="6"/>
  <c r="G171" i="6"/>
  <c r="H171" i="6"/>
  <c r="A172" i="6"/>
  <c r="B172" i="6"/>
  <c r="C172" i="6"/>
  <c r="D172" i="6"/>
  <c r="E172" i="6"/>
  <c r="F172" i="6"/>
  <c r="G172" i="6"/>
  <c r="H172" i="6"/>
  <c r="A173" i="6"/>
  <c r="B173" i="6"/>
  <c r="C173" i="6"/>
  <c r="D173" i="6"/>
  <c r="E173" i="6"/>
  <c r="F173" i="6"/>
  <c r="G173" i="6"/>
  <c r="H173" i="6"/>
  <c r="A174" i="6"/>
  <c r="B174" i="6"/>
  <c r="C174" i="6"/>
  <c r="D174" i="6"/>
  <c r="E174" i="6"/>
  <c r="F174" i="6"/>
  <c r="G174" i="6"/>
  <c r="H174" i="6"/>
  <c r="A175" i="6"/>
  <c r="B175" i="6"/>
  <c r="C175" i="6"/>
  <c r="D175" i="6"/>
  <c r="E175" i="6"/>
  <c r="F175" i="6"/>
  <c r="G175" i="6"/>
  <c r="H175" i="6"/>
  <c r="A176" i="6"/>
  <c r="B176" i="6"/>
  <c r="C176" i="6"/>
  <c r="D176" i="6"/>
  <c r="E176" i="6"/>
  <c r="F176" i="6"/>
  <c r="G176" i="6"/>
  <c r="H176" i="6"/>
  <c r="A177" i="6"/>
  <c r="B177" i="6"/>
  <c r="C177" i="6"/>
  <c r="D177" i="6"/>
  <c r="E177" i="6"/>
  <c r="F177" i="6"/>
  <c r="G177" i="6"/>
  <c r="H177" i="6"/>
  <c r="A178" i="6"/>
  <c r="B178" i="6"/>
  <c r="C178" i="6"/>
  <c r="D178" i="6"/>
  <c r="E178" i="6"/>
  <c r="F178" i="6"/>
  <c r="G178" i="6"/>
  <c r="H178" i="6"/>
  <c r="A179" i="6"/>
  <c r="B179" i="6"/>
  <c r="C179" i="6"/>
  <c r="D179" i="6"/>
  <c r="E179" i="6"/>
  <c r="F179" i="6"/>
  <c r="G179" i="6"/>
  <c r="H179" i="6"/>
  <c r="A180" i="6"/>
  <c r="B180" i="6"/>
  <c r="C180" i="6"/>
  <c r="D180" i="6"/>
  <c r="E180" i="6"/>
  <c r="F180" i="6"/>
  <c r="G180" i="6"/>
  <c r="H180" i="6"/>
  <c r="A181" i="6"/>
  <c r="B181" i="6"/>
  <c r="C181" i="6"/>
  <c r="D181" i="6"/>
  <c r="E181" i="6"/>
  <c r="F181" i="6"/>
  <c r="G181" i="6"/>
  <c r="H181" i="6"/>
  <c r="A182" i="6"/>
  <c r="B182" i="6"/>
  <c r="C182" i="6"/>
  <c r="D182" i="6"/>
  <c r="E182" i="6"/>
  <c r="F182" i="6"/>
  <c r="G182" i="6"/>
  <c r="H182" i="6"/>
  <c r="A183" i="6"/>
  <c r="B183" i="6"/>
  <c r="C183" i="6"/>
  <c r="D183" i="6"/>
  <c r="E183" i="6"/>
  <c r="F183" i="6"/>
  <c r="G183" i="6"/>
  <c r="H183" i="6"/>
  <c r="A184" i="6"/>
  <c r="B184" i="6"/>
  <c r="C184" i="6"/>
  <c r="D184" i="6"/>
  <c r="E184" i="6"/>
  <c r="F184" i="6"/>
  <c r="G184" i="6"/>
  <c r="H184" i="6"/>
  <c r="A185" i="6"/>
  <c r="B185" i="6"/>
  <c r="C185" i="6"/>
  <c r="D185" i="6"/>
  <c r="E185" i="6"/>
  <c r="F185" i="6"/>
  <c r="G185" i="6"/>
  <c r="H185" i="6"/>
  <c r="A186" i="6"/>
  <c r="B186" i="6"/>
  <c r="C186" i="6"/>
  <c r="D186" i="6"/>
  <c r="E186" i="6"/>
  <c r="F186" i="6"/>
  <c r="G186" i="6"/>
  <c r="H186" i="6"/>
  <c r="A187" i="6"/>
  <c r="B187" i="6"/>
  <c r="C187" i="6"/>
  <c r="D187" i="6"/>
  <c r="E187" i="6"/>
  <c r="F187" i="6"/>
  <c r="G187" i="6"/>
  <c r="H187" i="6"/>
  <c r="A188" i="6"/>
  <c r="B188" i="6"/>
  <c r="C188" i="6"/>
  <c r="D188" i="6"/>
  <c r="E188" i="6"/>
  <c r="F188" i="6"/>
  <c r="G188" i="6"/>
  <c r="H188" i="6"/>
  <c r="A189" i="6"/>
  <c r="B189" i="6"/>
  <c r="C189" i="6"/>
  <c r="D189" i="6"/>
  <c r="E189" i="6"/>
  <c r="F189" i="6"/>
  <c r="G189" i="6"/>
  <c r="H189" i="6"/>
  <c r="A190" i="6"/>
  <c r="B190" i="6"/>
  <c r="C190" i="6"/>
  <c r="D190" i="6"/>
  <c r="E190" i="6"/>
  <c r="F190" i="6"/>
  <c r="G190" i="6"/>
  <c r="H190" i="6"/>
  <c r="A191" i="6"/>
  <c r="B191" i="6"/>
  <c r="C191" i="6"/>
  <c r="D191" i="6"/>
  <c r="E191" i="6"/>
  <c r="F191" i="6"/>
  <c r="G191" i="6"/>
  <c r="H191" i="6"/>
  <c r="A192" i="6"/>
  <c r="B192" i="6"/>
  <c r="C192" i="6"/>
  <c r="D192" i="6"/>
  <c r="E192" i="6"/>
  <c r="F192" i="6"/>
  <c r="G192" i="6"/>
  <c r="H192" i="6"/>
  <c r="A193" i="6"/>
  <c r="B193" i="6"/>
  <c r="C193" i="6"/>
  <c r="D193" i="6"/>
  <c r="E193" i="6"/>
  <c r="F193" i="6"/>
  <c r="G193" i="6"/>
  <c r="H193" i="6"/>
  <c r="A194" i="6"/>
  <c r="B194" i="6"/>
  <c r="C194" i="6"/>
  <c r="D194" i="6"/>
  <c r="E194" i="6"/>
  <c r="F194" i="6"/>
  <c r="G194" i="6"/>
  <c r="H194" i="6"/>
  <c r="A195" i="6"/>
  <c r="B195" i="6"/>
  <c r="C195" i="6"/>
  <c r="D195" i="6"/>
  <c r="E195" i="6"/>
  <c r="F195" i="6"/>
  <c r="G195" i="6"/>
  <c r="H195" i="6"/>
  <c r="A196" i="6"/>
  <c r="B196" i="6"/>
  <c r="C196" i="6"/>
  <c r="D196" i="6"/>
  <c r="E196" i="6"/>
  <c r="F196" i="6"/>
  <c r="G196" i="6"/>
  <c r="H196" i="6"/>
  <c r="A197" i="6"/>
  <c r="B197" i="6"/>
  <c r="C197" i="6"/>
  <c r="D197" i="6"/>
  <c r="E197" i="6"/>
  <c r="F197" i="6"/>
  <c r="G197" i="6"/>
  <c r="H197" i="6"/>
  <c r="A198" i="6"/>
  <c r="B198" i="6"/>
  <c r="C198" i="6"/>
  <c r="D198" i="6"/>
  <c r="E198" i="6"/>
  <c r="F198" i="6"/>
  <c r="G198" i="6"/>
  <c r="H198" i="6"/>
  <c r="A199" i="6"/>
  <c r="B199" i="6"/>
  <c r="C199" i="6"/>
  <c r="D199" i="6"/>
  <c r="E199" i="6"/>
  <c r="F199" i="6"/>
  <c r="G199" i="6"/>
  <c r="H199" i="6"/>
  <c r="A200" i="6"/>
  <c r="B200" i="6"/>
  <c r="C200" i="6"/>
  <c r="D200" i="6"/>
  <c r="E200" i="6"/>
  <c r="F200" i="6"/>
  <c r="G200" i="6"/>
  <c r="H200" i="6"/>
  <c r="A201" i="6"/>
  <c r="B201" i="6"/>
  <c r="C201" i="6"/>
  <c r="D201" i="6"/>
  <c r="E201" i="6"/>
  <c r="F201" i="6"/>
  <c r="G201" i="6"/>
  <c r="H201" i="6"/>
  <c r="A202" i="6"/>
  <c r="B202" i="6"/>
  <c r="C202" i="6"/>
  <c r="D202" i="6"/>
  <c r="E202" i="6"/>
  <c r="F202" i="6"/>
  <c r="G202" i="6"/>
  <c r="H202" i="6"/>
  <c r="A203" i="6"/>
  <c r="B203" i="6"/>
  <c r="C203" i="6"/>
  <c r="D203" i="6"/>
  <c r="E203" i="6"/>
  <c r="F203" i="6"/>
  <c r="G203" i="6"/>
  <c r="H203" i="6"/>
  <c r="A204" i="6"/>
  <c r="B204" i="6"/>
  <c r="C204" i="6"/>
  <c r="D204" i="6"/>
  <c r="E204" i="6"/>
  <c r="F204" i="6"/>
  <c r="G204" i="6"/>
  <c r="H204" i="6"/>
  <c r="A205" i="6"/>
  <c r="B205" i="6"/>
  <c r="C205" i="6"/>
  <c r="D205" i="6"/>
  <c r="E205" i="6"/>
  <c r="F205" i="6"/>
  <c r="G205" i="6"/>
  <c r="H205" i="6"/>
  <c r="A206" i="6"/>
  <c r="B206" i="6"/>
  <c r="C206" i="6"/>
  <c r="D206" i="6"/>
  <c r="E206" i="6"/>
  <c r="F206" i="6"/>
  <c r="G206" i="6"/>
  <c r="H206" i="6"/>
  <c r="A207" i="6"/>
  <c r="B207" i="6"/>
  <c r="C207" i="6"/>
  <c r="D207" i="6"/>
  <c r="E207" i="6"/>
  <c r="F207" i="6"/>
  <c r="G207" i="6"/>
  <c r="H207" i="6"/>
  <c r="A208" i="6"/>
  <c r="B208" i="6"/>
  <c r="C208" i="6"/>
  <c r="D208" i="6"/>
  <c r="E208" i="6"/>
  <c r="F208" i="6"/>
  <c r="G208" i="6"/>
  <c r="H208" i="6"/>
  <c r="A209" i="6"/>
  <c r="B209" i="6"/>
  <c r="C209" i="6"/>
  <c r="D209" i="6"/>
  <c r="E209" i="6"/>
  <c r="F209" i="6"/>
  <c r="G209" i="6"/>
  <c r="H209" i="6"/>
  <c r="A210" i="6"/>
  <c r="B210" i="6"/>
  <c r="C210" i="6"/>
  <c r="D210" i="6"/>
  <c r="E210" i="6"/>
  <c r="F210" i="6"/>
  <c r="G210" i="6"/>
  <c r="H210" i="6"/>
  <c r="A211" i="6"/>
  <c r="B211" i="6"/>
  <c r="C211" i="6"/>
  <c r="D211" i="6"/>
  <c r="E211" i="6"/>
  <c r="F211" i="6"/>
  <c r="G211" i="6"/>
  <c r="H211" i="6"/>
  <c r="A212" i="6"/>
  <c r="B212" i="6"/>
  <c r="C212" i="6"/>
  <c r="D212" i="6"/>
  <c r="E212" i="6"/>
  <c r="F212" i="6"/>
  <c r="G212" i="6"/>
  <c r="H212" i="6"/>
  <c r="A213" i="6"/>
  <c r="B213" i="6"/>
  <c r="C213" i="6"/>
  <c r="D213" i="6"/>
  <c r="E213" i="6"/>
  <c r="F213" i="6"/>
  <c r="G213" i="6"/>
  <c r="H213" i="6"/>
  <c r="A214" i="6"/>
  <c r="B214" i="6"/>
  <c r="C214" i="6"/>
  <c r="D214" i="6"/>
  <c r="E214" i="6"/>
  <c r="F214" i="6"/>
  <c r="G214" i="6"/>
  <c r="H214" i="6"/>
  <c r="A215" i="6"/>
  <c r="B215" i="6"/>
  <c r="C215" i="6"/>
  <c r="D215" i="6"/>
  <c r="E215" i="6"/>
  <c r="F215" i="6"/>
  <c r="G215" i="6"/>
  <c r="H215" i="6"/>
  <c r="A216" i="6"/>
  <c r="B216" i="6"/>
  <c r="C216" i="6"/>
  <c r="D216" i="6"/>
  <c r="E216" i="6"/>
  <c r="F216" i="6"/>
  <c r="G216" i="6"/>
  <c r="H216" i="6"/>
  <c r="A217" i="6"/>
  <c r="B217" i="6"/>
  <c r="C217" i="6"/>
  <c r="D217" i="6"/>
  <c r="E217" i="6"/>
  <c r="F217" i="6"/>
  <c r="G217" i="6"/>
  <c r="H217" i="6"/>
  <c r="A218" i="6"/>
  <c r="B218" i="6"/>
  <c r="C218" i="6"/>
  <c r="D218" i="6"/>
  <c r="E218" i="6"/>
  <c r="F218" i="6"/>
  <c r="G218" i="6"/>
  <c r="H218" i="6"/>
  <c r="A219" i="6"/>
  <c r="B219" i="6"/>
  <c r="C219" i="6"/>
  <c r="D219" i="6"/>
  <c r="E219" i="6"/>
  <c r="F219" i="6"/>
  <c r="G219" i="6"/>
  <c r="H219" i="6"/>
  <c r="A220" i="6"/>
  <c r="B220" i="6"/>
  <c r="C220" i="6"/>
  <c r="D220" i="6"/>
  <c r="E220" i="6"/>
  <c r="F220" i="6"/>
  <c r="G220" i="6"/>
  <c r="H220" i="6"/>
  <c r="A221" i="6"/>
  <c r="B221" i="6"/>
  <c r="C221" i="6"/>
  <c r="D221" i="6"/>
  <c r="E221" i="6"/>
  <c r="F221" i="6"/>
  <c r="G221" i="6"/>
  <c r="H221" i="6"/>
  <c r="A222" i="6"/>
  <c r="B222" i="6"/>
  <c r="C222" i="6"/>
  <c r="D222" i="6"/>
  <c r="E222" i="6"/>
  <c r="F222" i="6"/>
  <c r="G222" i="6"/>
  <c r="H222" i="6"/>
  <c r="A223" i="6"/>
  <c r="B223" i="6"/>
  <c r="C223" i="6"/>
  <c r="D223" i="6"/>
  <c r="E223" i="6"/>
  <c r="F223" i="6"/>
  <c r="G223" i="6"/>
  <c r="H223" i="6"/>
  <c r="A224" i="6"/>
  <c r="B224" i="6"/>
  <c r="C224" i="6"/>
  <c r="D224" i="6"/>
  <c r="E224" i="6"/>
  <c r="F224" i="6"/>
  <c r="G224" i="6"/>
  <c r="H224" i="6"/>
  <c r="A225" i="6"/>
  <c r="B225" i="6"/>
  <c r="C225" i="6"/>
  <c r="D225" i="6"/>
  <c r="E225" i="6"/>
  <c r="F225" i="6"/>
  <c r="G225" i="6"/>
  <c r="H225" i="6"/>
  <c r="A226" i="6"/>
  <c r="B226" i="6"/>
  <c r="C226" i="6"/>
  <c r="D226" i="6"/>
  <c r="E226" i="6"/>
  <c r="F226" i="6"/>
  <c r="G226" i="6"/>
  <c r="H226" i="6"/>
  <c r="A227" i="6"/>
  <c r="B227" i="6"/>
  <c r="C227" i="6"/>
  <c r="D227" i="6"/>
  <c r="E227" i="6"/>
  <c r="F227" i="6"/>
  <c r="G227" i="6"/>
  <c r="H227" i="6"/>
  <c r="A228" i="6"/>
  <c r="B228" i="6"/>
  <c r="C228" i="6"/>
  <c r="D228" i="6"/>
  <c r="E228" i="6"/>
  <c r="F228" i="6"/>
  <c r="G228" i="6"/>
  <c r="H228" i="6"/>
  <c r="A229" i="6"/>
  <c r="B229" i="6"/>
  <c r="C229" i="6"/>
  <c r="D229" i="6"/>
  <c r="E229" i="6"/>
  <c r="F229" i="6"/>
  <c r="G229" i="6"/>
  <c r="H229" i="6"/>
  <c r="A230" i="6"/>
  <c r="B230" i="6"/>
  <c r="C230" i="6"/>
  <c r="D230" i="6"/>
  <c r="E230" i="6"/>
  <c r="F230" i="6"/>
  <c r="G230" i="6"/>
  <c r="H230" i="6"/>
  <c r="A231" i="6"/>
  <c r="B231" i="6"/>
  <c r="C231" i="6"/>
  <c r="D231" i="6"/>
  <c r="E231" i="6"/>
  <c r="F231" i="6"/>
  <c r="G231" i="6"/>
  <c r="H231" i="6"/>
  <c r="A232" i="6"/>
  <c r="B232" i="6"/>
  <c r="C232" i="6"/>
  <c r="D232" i="6"/>
  <c r="E232" i="6"/>
  <c r="F232" i="6"/>
  <c r="G232" i="6"/>
  <c r="H232" i="6"/>
  <c r="A233" i="6"/>
  <c r="B233" i="6"/>
  <c r="C233" i="6"/>
  <c r="D233" i="6"/>
  <c r="E233" i="6"/>
  <c r="F233" i="6"/>
  <c r="G233" i="6"/>
  <c r="H233" i="6"/>
  <c r="A234" i="6"/>
  <c r="B234" i="6"/>
  <c r="C234" i="6"/>
  <c r="D234" i="6"/>
  <c r="E234" i="6"/>
  <c r="F234" i="6"/>
  <c r="G234" i="6"/>
  <c r="H234" i="6"/>
  <c r="A235" i="6"/>
  <c r="B235" i="6"/>
  <c r="C235" i="6"/>
  <c r="D235" i="6"/>
  <c r="E235" i="6"/>
  <c r="F235" i="6"/>
  <c r="G235" i="6"/>
  <c r="H235" i="6"/>
  <c r="A236" i="6"/>
  <c r="B236" i="6"/>
  <c r="C236" i="6"/>
  <c r="D236" i="6"/>
  <c r="E236" i="6"/>
  <c r="F236" i="6"/>
  <c r="G236" i="6"/>
  <c r="H236" i="6"/>
  <c r="A237" i="6"/>
  <c r="B237" i="6"/>
  <c r="C237" i="6"/>
  <c r="D237" i="6"/>
  <c r="E237" i="6"/>
  <c r="F237" i="6"/>
  <c r="G237" i="6"/>
  <c r="H237" i="6"/>
  <c r="A238" i="6"/>
  <c r="B238" i="6"/>
  <c r="C238" i="6"/>
  <c r="D238" i="6"/>
  <c r="E238" i="6"/>
  <c r="F238" i="6"/>
  <c r="G238" i="6"/>
  <c r="H238" i="6"/>
  <c r="A239" i="6"/>
  <c r="B239" i="6"/>
  <c r="C239" i="6"/>
  <c r="D239" i="6"/>
  <c r="E239" i="6"/>
  <c r="F239" i="6"/>
  <c r="G239" i="6"/>
  <c r="H239" i="6"/>
  <c r="A240" i="6"/>
  <c r="B240" i="6"/>
  <c r="C240" i="6"/>
  <c r="D240" i="6"/>
  <c r="E240" i="6"/>
  <c r="F240" i="6"/>
  <c r="G240" i="6"/>
  <c r="H240" i="6"/>
  <c r="A241" i="6"/>
  <c r="B241" i="6"/>
  <c r="C241" i="6"/>
  <c r="D241" i="6"/>
  <c r="E241" i="6"/>
  <c r="F241" i="6"/>
  <c r="G241" i="6"/>
  <c r="H241" i="6"/>
  <c r="A242" i="6"/>
  <c r="B242" i="6"/>
  <c r="C242" i="6"/>
  <c r="D242" i="6"/>
  <c r="E242" i="6"/>
  <c r="F242" i="6"/>
  <c r="G242" i="6"/>
  <c r="H242" i="6"/>
  <c r="A243" i="6"/>
  <c r="B243" i="6"/>
  <c r="C243" i="6"/>
  <c r="D243" i="6"/>
  <c r="E243" i="6"/>
  <c r="F243" i="6"/>
  <c r="G243" i="6"/>
  <c r="H243" i="6"/>
  <c r="A244" i="6"/>
  <c r="B244" i="6"/>
  <c r="C244" i="6"/>
  <c r="D244" i="6"/>
  <c r="E244" i="6"/>
  <c r="F244" i="6"/>
  <c r="G244" i="6"/>
  <c r="H244" i="6"/>
  <c r="A245" i="6"/>
  <c r="B245" i="6"/>
  <c r="C245" i="6"/>
  <c r="D245" i="6"/>
  <c r="E245" i="6"/>
  <c r="F245" i="6"/>
  <c r="G245" i="6"/>
  <c r="H245" i="6"/>
  <c r="A246" i="6"/>
  <c r="B246" i="6"/>
  <c r="C246" i="6"/>
  <c r="D246" i="6"/>
  <c r="E246" i="6"/>
  <c r="F246" i="6"/>
  <c r="G246" i="6"/>
  <c r="H246" i="6"/>
  <c r="A247" i="6"/>
  <c r="B247" i="6"/>
  <c r="C247" i="6"/>
  <c r="D247" i="6"/>
  <c r="E247" i="6"/>
  <c r="F247" i="6"/>
  <c r="G247" i="6"/>
  <c r="H247" i="6"/>
  <c r="A248" i="6"/>
  <c r="B248" i="6"/>
  <c r="C248" i="6"/>
  <c r="D248" i="6"/>
  <c r="E248" i="6"/>
  <c r="F248" i="6"/>
  <c r="G248" i="6"/>
  <c r="H248" i="6"/>
  <c r="A249" i="6"/>
  <c r="B249" i="6"/>
  <c r="C249" i="6"/>
  <c r="D249" i="6"/>
  <c r="E249" i="6"/>
  <c r="F249" i="6"/>
  <c r="G249" i="6"/>
  <c r="H249" i="6"/>
  <c r="A250" i="6"/>
  <c r="B250" i="6"/>
  <c r="C250" i="6"/>
  <c r="D250" i="6"/>
  <c r="E250" i="6"/>
  <c r="F250" i="6"/>
  <c r="G250" i="6"/>
  <c r="H250" i="6"/>
  <c r="A251" i="6"/>
  <c r="B251" i="6"/>
  <c r="C251" i="6"/>
  <c r="D251" i="6"/>
  <c r="E251" i="6"/>
  <c r="F251" i="6"/>
  <c r="G251" i="6"/>
  <c r="H251" i="6"/>
  <c r="A252" i="6"/>
  <c r="B252" i="6"/>
  <c r="C252" i="6"/>
  <c r="D252" i="6"/>
  <c r="E252" i="6"/>
  <c r="F252" i="6"/>
  <c r="G252" i="6"/>
  <c r="H252" i="6"/>
  <c r="A253" i="6"/>
  <c r="B253" i="6"/>
  <c r="C253" i="6"/>
  <c r="D253" i="6"/>
  <c r="E253" i="6"/>
  <c r="F253" i="6"/>
  <c r="G253" i="6"/>
  <c r="H253" i="6"/>
  <c r="A254" i="6"/>
  <c r="B254" i="6"/>
  <c r="C254" i="6"/>
  <c r="D254" i="6"/>
  <c r="E254" i="6"/>
  <c r="F254" i="6"/>
  <c r="G254" i="6"/>
  <c r="H254" i="6"/>
  <c r="A255" i="6"/>
  <c r="B255" i="6"/>
  <c r="C255" i="6"/>
  <c r="D255" i="6"/>
  <c r="E255" i="6"/>
  <c r="F255" i="6"/>
  <c r="G255" i="6"/>
  <c r="H255" i="6"/>
  <c r="A256" i="6"/>
  <c r="B256" i="6"/>
  <c r="C256" i="6"/>
  <c r="D256" i="6"/>
  <c r="E256" i="6"/>
  <c r="F256" i="6"/>
  <c r="G256" i="6"/>
  <c r="H256" i="6"/>
  <c r="A257" i="6"/>
  <c r="B257" i="6"/>
  <c r="C257" i="6"/>
  <c r="D257" i="6"/>
  <c r="E257" i="6"/>
  <c r="F257" i="6"/>
  <c r="G257" i="6"/>
  <c r="H257" i="6"/>
  <c r="A258" i="6"/>
  <c r="B258" i="6"/>
  <c r="C258" i="6"/>
  <c r="D258" i="6"/>
  <c r="E258" i="6"/>
  <c r="F258" i="6"/>
  <c r="G258" i="6"/>
  <c r="H258" i="6"/>
  <c r="A259" i="6"/>
  <c r="B259" i="6"/>
  <c r="C259" i="6"/>
  <c r="D259" i="6"/>
  <c r="E259" i="6"/>
  <c r="F259" i="6"/>
  <c r="G259" i="6"/>
  <c r="H259" i="6"/>
  <c r="A260" i="6"/>
  <c r="B260" i="6"/>
  <c r="C260" i="6"/>
  <c r="D260" i="6"/>
  <c r="E260" i="6"/>
  <c r="F260" i="6"/>
  <c r="G260" i="6"/>
  <c r="H260" i="6"/>
  <c r="A261" i="6"/>
  <c r="B261" i="6"/>
  <c r="C261" i="6"/>
  <c r="D261" i="6"/>
  <c r="E261" i="6"/>
  <c r="F261" i="6"/>
  <c r="G261" i="6"/>
  <c r="H261" i="6"/>
  <c r="A262" i="6"/>
  <c r="B262" i="6"/>
  <c r="C262" i="6"/>
  <c r="D262" i="6"/>
  <c r="E262" i="6"/>
  <c r="F262" i="6"/>
  <c r="G262" i="6"/>
  <c r="H262" i="6"/>
  <c r="A263" i="6"/>
  <c r="B263" i="6"/>
  <c r="C263" i="6"/>
  <c r="D263" i="6"/>
  <c r="E263" i="6"/>
  <c r="F263" i="6"/>
  <c r="G263" i="6"/>
  <c r="H263" i="6"/>
  <c r="A264" i="6"/>
  <c r="B264" i="6"/>
  <c r="C264" i="6"/>
  <c r="D264" i="6"/>
  <c r="E264" i="6"/>
  <c r="F264" i="6"/>
  <c r="G264" i="6"/>
  <c r="H264" i="6"/>
  <c r="A265" i="6"/>
  <c r="B265" i="6"/>
  <c r="C265" i="6"/>
  <c r="D265" i="6"/>
  <c r="E265" i="6"/>
  <c r="F265" i="6"/>
  <c r="G265" i="6"/>
  <c r="H265" i="6"/>
  <c r="A266" i="6"/>
  <c r="B266" i="6"/>
  <c r="C266" i="6"/>
  <c r="D266" i="6"/>
  <c r="E266" i="6"/>
  <c r="F266" i="6"/>
  <c r="G266" i="6"/>
  <c r="H266" i="6"/>
  <c r="A267" i="6"/>
  <c r="B267" i="6"/>
  <c r="C267" i="6"/>
  <c r="D267" i="6"/>
  <c r="E267" i="6"/>
  <c r="F267" i="6"/>
  <c r="G267" i="6"/>
  <c r="H267" i="6"/>
  <c r="A268" i="6"/>
  <c r="B268" i="6"/>
  <c r="C268" i="6"/>
  <c r="D268" i="6"/>
  <c r="E268" i="6"/>
  <c r="F268" i="6"/>
  <c r="G268" i="6"/>
  <c r="H268" i="6"/>
  <c r="A269" i="6"/>
  <c r="B269" i="6"/>
  <c r="C269" i="6"/>
  <c r="D269" i="6"/>
  <c r="E269" i="6"/>
  <c r="F269" i="6"/>
  <c r="G269" i="6"/>
  <c r="H269" i="6"/>
  <c r="A270" i="6"/>
  <c r="B270" i="6"/>
  <c r="C270" i="6"/>
  <c r="D270" i="6"/>
  <c r="E270" i="6"/>
  <c r="F270" i="6"/>
  <c r="G270" i="6"/>
  <c r="H270" i="6"/>
  <c r="A271" i="6"/>
  <c r="B271" i="6"/>
  <c r="C271" i="6"/>
  <c r="D271" i="6"/>
  <c r="E271" i="6"/>
  <c r="F271" i="6"/>
  <c r="G271" i="6"/>
  <c r="H271" i="6"/>
  <c r="A272" i="6"/>
  <c r="B272" i="6"/>
  <c r="C272" i="6"/>
  <c r="D272" i="6"/>
  <c r="E272" i="6"/>
  <c r="F272" i="6"/>
  <c r="G272" i="6"/>
  <c r="H272" i="6"/>
  <c r="A273" i="6"/>
  <c r="B273" i="6"/>
  <c r="C273" i="6"/>
  <c r="D273" i="6"/>
  <c r="E273" i="6"/>
  <c r="F273" i="6"/>
  <c r="G273" i="6"/>
  <c r="H273" i="6"/>
  <c r="A274" i="6"/>
  <c r="B274" i="6"/>
  <c r="C274" i="6"/>
  <c r="D274" i="6"/>
  <c r="E274" i="6"/>
  <c r="F274" i="6"/>
  <c r="G274" i="6"/>
  <c r="H274" i="6"/>
  <c r="A275" i="6"/>
  <c r="B275" i="6"/>
  <c r="C275" i="6"/>
  <c r="D275" i="6"/>
  <c r="E275" i="6"/>
  <c r="F275" i="6"/>
  <c r="G275" i="6"/>
  <c r="H275" i="6"/>
  <c r="A276" i="6"/>
  <c r="B276" i="6"/>
  <c r="C276" i="6"/>
  <c r="D276" i="6"/>
  <c r="E276" i="6"/>
  <c r="F276" i="6"/>
  <c r="G276" i="6"/>
  <c r="H276" i="6"/>
  <c r="A277" i="6"/>
  <c r="B277" i="6"/>
  <c r="C277" i="6"/>
  <c r="D277" i="6"/>
  <c r="E277" i="6"/>
  <c r="F277" i="6"/>
  <c r="G277" i="6"/>
  <c r="H277" i="6"/>
  <c r="A278" i="6"/>
  <c r="B278" i="6"/>
  <c r="C278" i="6"/>
  <c r="D278" i="6"/>
  <c r="E278" i="6"/>
  <c r="F278" i="6"/>
  <c r="G278" i="6"/>
  <c r="H278" i="6"/>
  <c r="A279" i="6"/>
  <c r="B279" i="6"/>
  <c r="C279" i="6"/>
  <c r="D279" i="6"/>
  <c r="E279" i="6"/>
  <c r="F279" i="6"/>
  <c r="G279" i="6"/>
  <c r="H279" i="6"/>
  <c r="A280" i="6"/>
  <c r="B280" i="6"/>
  <c r="C280" i="6"/>
  <c r="D280" i="6"/>
  <c r="E280" i="6"/>
  <c r="F280" i="6"/>
  <c r="G280" i="6"/>
  <c r="H280" i="6"/>
  <c r="A281" i="6"/>
  <c r="B281" i="6"/>
  <c r="C281" i="6"/>
  <c r="D281" i="6"/>
  <c r="E281" i="6"/>
  <c r="F281" i="6"/>
  <c r="G281" i="6"/>
  <c r="H281" i="6"/>
  <c r="A282" i="6"/>
  <c r="B282" i="6"/>
  <c r="C282" i="6"/>
  <c r="D282" i="6"/>
  <c r="E282" i="6"/>
  <c r="F282" i="6"/>
  <c r="G282" i="6"/>
  <c r="H282" i="6"/>
  <c r="A283" i="6"/>
  <c r="B283" i="6"/>
  <c r="C283" i="6"/>
  <c r="D283" i="6"/>
  <c r="E283" i="6"/>
  <c r="F283" i="6"/>
  <c r="G283" i="6"/>
  <c r="H283" i="6"/>
  <c r="A284" i="6"/>
  <c r="B284" i="6"/>
  <c r="C284" i="6"/>
  <c r="D284" i="6"/>
  <c r="E284" i="6"/>
  <c r="F284" i="6"/>
  <c r="G284" i="6"/>
  <c r="H284" i="6"/>
  <c r="A285" i="6"/>
  <c r="B285" i="6"/>
  <c r="C285" i="6"/>
  <c r="D285" i="6"/>
  <c r="E285" i="6"/>
  <c r="F285" i="6"/>
  <c r="G285" i="6"/>
  <c r="H285" i="6"/>
  <c r="A286" i="6"/>
  <c r="B286" i="6"/>
  <c r="C286" i="6"/>
  <c r="D286" i="6"/>
  <c r="E286" i="6"/>
  <c r="F286" i="6"/>
  <c r="G286" i="6"/>
  <c r="H286" i="6"/>
  <c r="A287" i="6"/>
  <c r="B287" i="6"/>
  <c r="C287" i="6"/>
  <c r="D287" i="6"/>
  <c r="E287" i="6"/>
  <c r="F287" i="6"/>
  <c r="G287" i="6"/>
  <c r="H287" i="6"/>
  <c r="A288" i="6"/>
  <c r="B288" i="6"/>
  <c r="C288" i="6"/>
  <c r="D288" i="6"/>
  <c r="E288" i="6"/>
  <c r="F288" i="6"/>
  <c r="G288" i="6"/>
  <c r="H288" i="6"/>
  <c r="A289" i="6"/>
  <c r="B289" i="6"/>
  <c r="C289" i="6"/>
  <c r="D289" i="6"/>
  <c r="E289" i="6"/>
  <c r="F289" i="6"/>
  <c r="G289" i="6"/>
  <c r="H289" i="6"/>
  <c r="A290" i="6"/>
  <c r="B290" i="6"/>
  <c r="C290" i="6"/>
  <c r="D290" i="6"/>
  <c r="E290" i="6"/>
  <c r="F290" i="6"/>
  <c r="G290" i="6"/>
  <c r="H290" i="6"/>
  <c r="A291" i="6"/>
  <c r="B291" i="6"/>
  <c r="C291" i="6"/>
  <c r="D291" i="6"/>
  <c r="E291" i="6"/>
  <c r="F291" i="6"/>
  <c r="G291" i="6"/>
  <c r="H291" i="6"/>
  <c r="A292" i="6"/>
  <c r="B292" i="6"/>
  <c r="C292" i="6"/>
  <c r="D292" i="6"/>
  <c r="E292" i="6"/>
  <c r="F292" i="6"/>
  <c r="G292" i="6"/>
  <c r="H292" i="6"/>
  <c r="A293" i="6"/>
  <c r="B293" i="6"/>
  <c r="C293" i="6"/>
  <c r="D293" i="6"/>
  <c r="E293" i="6"/>
  <c r="F293" i="6"/>
  <c r="G293" i="6"/>
  <c r="H293" i="6"/>
  <c r="A294" i="6"/>
  <c r="B294" i="6"/>
  <c r="C294" i="6"/>
  <c r="D294" i="6"/>
  <c r="E294" i="6"/>
  <c r="F294" i="6"/>
  <c r="G294" i="6"/>
  <c r="H294" i="6"/>
  <c r="A295" i="6"/>
  <c r="B295" i="6"/>
  <c r="C295" i="6"/>
  <c r="D295" i="6"/>
  <c r="E295" i="6"/>
  <c r="F295" i="6"/>
  <c r="G295" i="6"/>
  <c r="H295" i="6"/>
  <c r="A296" i="6"/>
  <c r="B296" i="6"/>
  <c r="C296" i="6"/>
  <c r="D296" i="6"/>
  <c r="E296" i="6"/>
  <c r="F296" i="6"/>
  <c r="G296" i="6"/>
  <c r="H296" i="6"/>
  <c r="A297" i="6"/>
  <c r="B297" i="6"/>
  <c r="C297" i="6"/>
  <c r="D297" i="6"/>
  <c r="E297" i="6"/>
  <c r="F297" i="6"/>
  <c r="G297" i="6"/>
  <c r="H297" i="6"/>
  <c r="A298" i="6"/>
  <c r="B298" i="6"/>
  <c r="C298" i="6"/>
  <c r="D298" i="6"/>
  <c r="E298" i="6"/>
  <c r="F298" i="6"/>
  <c r="G298" i="6"/>
  <c r="H298" i="6"/>
  <c r="A299" i="6"/>
  <c r="B299" i="6"/>
  <c r="C299" i="6"/>
  <c r="D299" i="6"/>
  <c r="E299" i="6"/>
  <c r="F299" i="6"/>
  <c r="G299" i="6"/>
  <c r="H299" i="6"/>
  <c r="A300" i="6"/>
  <c r="B300" i="6"/>
  <c r="C300" i="6"/>
  <c r="D300" i="6"/>
  <c r="E300" i="6"/>
  <c r="F300" i="6"/>
  <c r="G300" i="6"/>
  <c r="H300" i="6"/>
  <c r="A301" i="6"/>
  <c r="B301" i="6"/>
  <c r="C301" i="6"/>
  <c r="D301" i="6"/>
  <c r="E301" i="6"/>
  <c r="F301" i="6"/>
  <c r="G301" i="6"/>
  <c r="H301" i="6"/>
  <c r="A302" i="6"/>
  <c r="B302" i="6"/>
  <c r="C302" i="6"/>
  <c r="D302" i="6"/>
  <c r="E302" i="6"/>
  <c r="F302" i="6"/>
  <c r="G302" i="6"/>
  <c r="H302" i="6"/>
  <c r="A303" i="6"/>
  <c r="B303" i="6"/>
  <c r="C303" i="6"/>
  <c r="D303" i="6"/>
  <c r="E303" i="6"/>
  <c r="F303" i="6"/>
  <c r="G303" i="6"/>
  <c r="H303" i="6"/>
  <c r="A304" i="6"/>
  <c r="B304" i="6"/>
  <c r="C304" i="6"/>
  <c r="D304" i="6"/>
  <c r="E304" i="6"/>
  <c r="F304" i="6"/>
  <c r="G304" i="6"/>
  <c r="H304" i="6"/>
  <c r="A305" i="6"/>
  <c r="B305" i="6"/>
  <c r="C305" i="6"/>
  <c r="D305" i="6"/>
  <c r="E305" i="6"/>
  <c r="F305" i="6"/>
  <c r="G305" i="6"/>
  <c r="H305" i="6"/>
  <c r="A306" i="6"/>
  <c r="B306" i="6"/>
  <c r="C306" i="6"/>
  <c r="D306" i="6"/>
  <c r="E306" i="6"/>
  <c r="F306" i="6"/>
  <c r="G306" i="6"/>
  <c r="H306" i="6"/>
  <c r="A307" i="6"/>
  <c r="B307" i="6"/>
  <c r="C307" i="6"/>
  <c r="D307" i="6"/>
  <c r="E307" i="6"/>
  <c r="F307" i="6"/>
  <c r="G307" i="6"/>
  <c r="H307" i="6"/>
  <c r="A308" i="6"/>
  <c r="B308" i="6"/>
  <c r="C308" i="6"/>
  <c r="D308" i="6"/>
  <c r="E308" i="6"/>
  <c r="F308" i="6"/>
  <c r="G308" i="6"/>
  <c r="H308" i="6"/>
  <c r="A309" i="6"/>
  <c r="B309" i="6"/>
  <c r="C309" i="6"/>
  <c r="D309" i="6"/>
  <c r="E309" i="6"/>
  <c r="F309" i="6"/>
  <c r="G309" i="6"/>
  <c r="H309" i="6"/>
  <c r="A310" i="6"/>
  <c r="B310" i="6"/>
  <c r="C310" i="6"/>
  <c r="D310" i="6"/>
  <c r="E310" i="6"/>
  <c r="F310" i="6"/>
  <c r="G310" i="6"/>
  <c r="H310" i="6"/>
  <c r="A311" i="6"/>
  <c r="B311" i="6"/>
  <c r="C311" i="6"/>
  <c r="D311" i="6"/>
  <c r="E311" i="6"/>
  <c r="F311" i="6"/>
  <c r="G311" i="6"/>
  <c r="H311" i="6"/>
  <c r="A312" i="6"/>
  <c r="B312" i="6"/>
  <c r="C312" i="6"/>
  <c r="D312" i="6"/>
  <c r="E312" i="6"/>
  <c r="F312" i="6"/>
  <c r="G312" i="6"/>
  <c r="H312" i="6"/>
  <c r="A313" i="6"/>
  <c r="B313" i="6"/>
  <c r="C313" i="6"/>
  <c r="D313" i="6"/>
  <c r="E313" i="6"/>
  <c r="F313" i="6"/>
  <c r="G313" i="6"/>
  <c r="H313" i="6"/>
  <c r="A314" i="6"/>
  <c r="B314" i="6"/>
  <c r="C314" i="6"/>
  <c r="D314" i="6"/>
  <c r="E314" i="6"/>
  <c r="F314" i="6"/>
  <c r="G314" i="6"/>
  <c r="H314" i="6"/>
  <c r="A315" i="6"/>
  <c r="B315" i="6"/>
  <c r="C315" i="6"/>
  <c r="D315" i="6"/>
  <c r="E315" i="6"/>
  <c r="F315" i="6"/>
  <c r="G315" i="6"/>
  <c r="H315" i="6"/>
  <c r="A316" i="6"/>
  <c r="B316" i="6"/>
  <c r="C316" i="6"/>
  <c r="D316" i="6"/>
  <c r="E316" i="6"/>
  <c r="F316" i="6"/>
  <c r="G316" i="6"/>
  <c r="H316" i="6"/>
  <c r="A317" i="6"/>
  <c r="B317" i="6"/>
  <c r="C317" i="6"/>
  <c r="D317" i="6"/>
  <c r="E317" i="6"/>
  <c r="F317" i="6"/>
  <c r="G317" i="6"/>
  <c r="H317" i="6"/>
  <c r="A318" i="6"/>
  <c r="B318" i="6"/>
  <c r="C318" i="6"/>
  <c r="D318" i="6"/>
  <c r="E318" i="6"/>
  <c r="F318" i="6"/>
  <c r="G318" i="6"/>
  <c r="H318" i="6"/>
  <c r="A319" i="6"/>
  <c r="B319" i="6"/>
  <c r="C319" i="6"/>
  <c r="D319" i="6"/>
  <c r="E319" i="6"/>
  <c r="F319" i="6"/>
  <c r="G319" i="6"/>
  <c r="H319" i="6"/>
  <c r="A320" i="6"/>
  <c r="B320" i="6"/>
  <c r="C320" i="6"/>
  <c r="D320" i="6"/>
  <c r="E320" i="6"/>
  <c r="F320" i="6"/>
  <c r="G320" i="6"/>
  <c r="H320" i="6"/>
  <c r="A321" i="6"/>
  <c r="B321" i="6"/>
  <c r="C321" i="6"/>
  <c r="D321" i="6"/>
  <c r="E321" i="6"/>
  <c r="F321" i="6"/>
  <c r="G321" i="6"/>
  <c r="H321" i="6"/>
  <c r="H2" i="6"/>
  <c r="G2" i="6"/>
  <c r="F2" i="6"/>
  <c r="E2" i="6"/>
  <c r="D2" i="6"/>
  <c r="C2" i="6"/>
  <c r="B2" i="6"/>
  <c r="A2" i="6"/>
</calcChain>
</file>

<file path=xl/sharedStrings.xml><?xml version="1.0" encoding="utf-8"?>
<sst xmlns="http://schemas.openxmlformats.org/spreadsheetml/2006/main" count="2426" uniqueCount="160">
  <si>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</si>
  <si>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</si>
  <si>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</si>
  <si>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</si>
  <si>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</si>
  <si>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</si>
  <si>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</si>
  <si>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</si>
  <si>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</si>
  <si>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</si>
  <si>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</si>
  <si>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</si>
  <si>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</si>
  <si>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</si>
  <si>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</si>
  <si>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</si>
  <si>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</si>
  <si>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</si>
  <si>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</si>
  <si>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</si>
  <si>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</si>
  <si>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</si>
  <si>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</si>
  <si>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</si>
  <si>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</si>
  <si>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</si>
  <si>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</si>
  <si>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</si>
  <si>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</si>
  <si>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</si>
  <si>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</si>
  <si>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</si>
  <si>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</si>
  <si>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</si>
  <si>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</si>
  <si>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</si>
  <si>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</si>
  <si>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</si>
  <si>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</si>
  <si>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</si>
  <si>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</si>
  <si>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</si>
  <si>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</si>
  <si>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</si>
  <si>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</si>
  <si>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</si>
  <si>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</si>
  <si>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</si>
  <si>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</si>
  <si>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</si>
  <si>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</si>
  <si>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</si>
  <si>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</si>
  <si>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</si>
  <si>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</si>
  <si>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</si>
  <si>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</si>
  <si>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</si>
  <si>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</si>
  <si>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</si>
  <si>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</si>
  <si>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</si>
  <si>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</si>
  <si>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</si>
  <si>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</si>
  <si>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</si>
  <si>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</si>
  <si>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</si>
  <si>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</si>
  <si>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</si>
  <si>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</si>
  <si>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</si>
  <si>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</si>
  <si>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</si>
  <si>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</si>
  <si>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</si>
  <si>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</si>
  <si>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</si>
  <si>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</si>
  <si>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</si>
  <si>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</si>
  <si>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</si>
  <si>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</si>
  <si>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</si>
  <si>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</si>
  <si>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</si>
  <si>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</si>
  <si>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</si>
  <si>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</si>
  <si>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</si>
  <si>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</si>
  <si>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</si>
  <si>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</si>
  <si>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</si>
  <si>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</si>
  <si>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</si>
  <si>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</si>
  <si>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</si>
  <si>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</si>
  <si>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</si>
  <si>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</si>
  <si>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</si>
  <si>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</si>
  <si>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</si>
  <si>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</si>
  <si>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</si>
  <si>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</si>
  <si>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</si>
  <si>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</si>
  <si>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</si>
  <si>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</si>
  <si>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</si>
  <si>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</si>
  <si>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</si>
  <si>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</si>
  <si>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</si>
  <si>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</si>
  <si>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</si>
  <si>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</si>
  <si>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</si>
  <si>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</si>
  <si>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</si>
  <si>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</si>
  <si>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</si>
  <si>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</si>
  <si>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</si>
  <si>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</si>
  <si>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</si>
  <si>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</si>
  <si>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</si>
  <si>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</si>
  <si>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</si>
  <si>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</si>
  <si>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</si>
  <si>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</si>
  <si>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</si>
  <si>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</si>
  <si>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</si>
  <si>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</si>
  <si>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</si>
  <si>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</si>
  <si>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</si>
  <si>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</si>
  <si>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</si>
  <si>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reg_North</t>
  </si>
  <si>
    <t>reg_West</t>
  </si>
  <si>
    <t>type_HighStreet</t>
  </si>
  <si>
    <t>type_Residential</t>
  </si>
  <si>
    <t>type_Airport</t>
  </si>
  <si>
    <t>reg_South</t>
  </si>
  <si>
    <t>Regression equation</t>
  </si>
  <si>
    <t>monthly_sales = 560777.35 + 2.1296 * marketing_spend</t>
  </si>
  <si>
    <t>SUMMARY OUTPUT FOR MUTLIPLE REGRESSION AGAINST MONTHLY SALES</t>
  </si>
  <si>
    <t>regression formula</t>
  </si>
  <si>
    <t>monthly_sales = 446410.58 + 35.6780 * footfall</t>
  </si>
  <si>
    <t>regression equation</t>
  </si>
  <si>
    <t>monthly_sales = 79,339.71 + 1.2002(marketing_spend) + 34.0035(footfall) − 457.3614(avg_discount_pct_pct) + 300,179.63(inventory_availability_decimal) + 13,548.49(customer_rating) + 6,184.86(region_North) + 18,676.80(region_South) + 18,109.76(region_West) + 12,784.08(type_Airport) − 11,004.46(type_HighStreet) − 29,093.02(type_Residential)</t>
  </si>
  <si>
    <r>
      <t xml:space="preserve">SINGLE REGRESSION MODEL 2: </t>
    </r>
    <r>
      <rPr>
        <u/>
        <sz val="11"/>
        <rFont val="Carlito"/>
      </rPr>
      <t>SUMMARY OUTPUT MONTHLY SALES VS FOOTFALL</t>
    </r>
  </si>
  <si>
    <r>
      <t xml:space="preserve">SINGLE REGRESSION MODEL 1: </t>
    </r>
    <r>
      <rPr>
        <u/>
        <sz val="11"/>
        <rFont val="Carlito"/>
      </rPr>
      <t>SUMMARY OUTPUT FOR MONTHLY SALES VS MARKETING SPEND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</si>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</sst>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5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  <font>
      <u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365F91"/>
        <bgColor rgb="FF00000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2" fillId="0" borderId="9" xfId="0" applyFont="1" applyBorder="1" applyAlignment="1">
      <alignment horizontal="centerContinuous"/>
    </xf>
    <xf numFmtId="0" fontId="0" fillId="0" borderId="7" xfId="0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14" xfId="0" applyFont="1" applyBorder="1" applyAlignment="1">
      <alignment horizontal="centerContinuous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marketing_spend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'Cleaned Data'!$E$2:$E$321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'SRMODEL 1'!$C$25:$C$344</c:f>
              <c:numCache>
                <c:formatCode>General</c:formatCode>
                <c:ptCount val="320"/>
                <c:pt idx="0">
                  <c:v>-51843.637436443474</c:v>
                </c:pt>
                <c:pt idx="1">
                  <c:v>-19676.138653757982</c:v>
                </c:pt>
                <c:pt idx="2">
                  <c:v>-9663.16583544272</c:v>
                </c:pt>
                <c:pt idx="3">
                  <c:v>-22937.521907340619</c:v>
                </c:pt>
                <c:pt idx="4">
                  <c:v>77465.730863074539</c:v>
                </c:pt>
                <c:pt idx="5">
                  <c:v>63037.640783319832</c:v>
                </c:pt>
                <c:pt idx="6">
                  <c:v>147423.17162775691</c:v>
                </c:pt>
                <c:pt idx="7">
                  <c:v>144259.50774680101</c:v>
                </c:pt>
                <c:pt idx="8">
                  <c:v>216818.09073238308</c:v>
                </c:pt>
                <c:pt idx="9">
                  <c:v>73138.301742741023</c:v>
                </c:pt>
                <c:pt idx="10">
                  <c:v>89270.477233326877</c:v>
                </c:pt>
                <c:pt idx="11">
                  <c:v>205246.31933004572</c:v>
                </c:pt>
                <c:pt idx="12">
                  <c:v>208427.56423085555</c:v>
                </c:pt>
                <c:pt idx="13">
                  <c:v>47175.769346799469</c:v>
                </c:pt>
                <c:pt idx="14">
                  <c:v>58141.930166566861</c:v>
                </c:pt>
                <c:pt idx="15">
                  <c:v>112870.4925079284</c:v>
                </c:pt>
                <c:pt idx="16">
                  <c:v>1442.9117562969914</c:v>
                </c:pt>
                <c:pt idx="17">
                  <c:v>-113518.17670835985</c:v>
                </c:pt>
                <c:pt idx="18">
                  <c:v>-62080.95364771015</c:v>
                </c:pt>
                <c:pt idx="19">
                  <c:v>-57411.107105141855</c:v>
                </c:pt>
                <c:pt idx="20">
                  <c:v>-209701.51037484553</c:v>
                </c:pt>
                <c:pt idx="21">
                  <c:v>-140253.19530588121</c:v>
                </c:pt>
                <c:pt idx="22">
                  <c:v>-94859.493763547507</c:v>
                </c:pt>
                <c:pt idx="23">
                  <c:v>-127128.71599705261</c:v>
                </c:pt>
                <c:pt idx="24">
                  <c:v>128124.34704296419</c:v>
                </c:pt>
                <c:pt idx="25">
                  <c:v>-127497.24293500767</c:v>
                </c:pt>
                <c:pt idx="26">
                  <c:v>105192.73881550273</c:v>
                </c:pt>
                <c:pt idx="27">
                  <c:v>28603.848199132364</c:v>
                </c:pt>
                <c:pt idx="28">
                  <c:v>-195023.1232588024</c:v>
                </c:pt>
                <c:pt idx="29">
                  <c:v>-157933.16093524115</c:v>
                </c:pt>
                <c:pt idx="30">
                  <c:v>-156371.49829717784</c:v>
                </c:pt>
                <c:pt idx="31">
                  <c:v>-281539.1418718131</c:v>
                </c:pt>
                <c:pt idx="32">
                  <c:v>-35182.507157380809</c:v>
                </c:pt>
                <c:pt idx="33">
                  <c:v>81597.575145385694</c:v>
                </c:pt>
                <c:pt idx="34">
                  <c:v>79704.86167233286</c:v>
                </c:pt>
                <c:pt idx="35">
                  <c:v>128434.29285966384</c:v>
                </c:pt>
                <c:pt idx="36">
                  <c:v>99523.726487669279</c:v>
                </c:pt>
                <c:pt idx="37">
                  <c:v>27126.470486439648</c:v>
                </c:pt>
                <c:pt idx="38">
                  <c:v>-23006.372804687941</c:v>
                </c:pt>
                <c:pt idx="39">
                  <c:v>129398.14873398084</c:v>
                </c:pt>
                <c:pt idx="40">
                  <c:v>-54750.374155184603</c:v>
                </c:pt>
                <c:pt idx="41">
                  <c:v>-126357.16231015103</c:v>
                </c:pt>
                <c:pt idx="42">
                  <c:v>-48324.414996446576</c:v>
                </c:pt>
                <c:pt idx="43">
                  <c:v>-93770.749994666083</c:v>
                </c:pt>
                <c:pt idx="44">
                  <c:v>-261013.01364533976</c:v>
                </c:pt>
                <c:pt idx="45">
                  <c:v>-96679.270754796569</c:v>
                </c:pt>
                <c:pt idx="46">
                  <c:v>-52548.977791977813</c:v>
                </c:pt>
                <c:pt idx="47">
                  <c:v>-65053.618556950823</c:v>
                </c:pt>
                <c:pt idx="48">
                  <c:v>-37255.032001751591</c:v>
                </c:pt>
                <c:pt idx="49">
                  <c:v>-63341.582560772425</c:v>
                </c:pt>
                <c:pt idx="50">
                  <c:v>-37937.099431795534</c:v>
                </c:pt>
                <c:pt idx="51">
                  <c:v>73949.927263105637</c:v>
                </c:pt>
                <c:pt idx="52">
                  <c:v>-210143.51104626246</c:v>
                </c:pt>
                <c:pt idx="53">
                  <c:v>-26788.823012896813</c:v>
                </c:pt>
                <c:pt idx="54">
                  <c:v>-12836.778960756958</c:v>
                </c:pt>
                <c:pt idx="55">
                  <c:v>-132532.9439042515</c:v>
                </c:pt>
                <c:pt idx="56">
                  <c:v>-83967.439442733652</c:v>
                </c:pt>
                <c:pt idx="57">
                  <c:v>-186987.73589613358</c:v>
                </c:pt>
                <c:pt idx="58">
                  <c:v>-196715.01984930073</c:v>
                </c:pt>
                <c:pt idx="59">
                  <c:v>-119786.44374501286</c:v>
                </c:pt>
                <c:pt idx="60">
                  <c:v>29260.178502970608</c:v>
                </c:pt>
                <c:pt idx="61">
                  <c:v>-24211.357483012369</c:v>
                </c:pt>
                <c:pt idx="62">
                  <c:v>-95975.760785604012</c:v>
                </c:pt>
                <c:pt idx="63">
                  <c:v>41461.654545990983</c:v>
                </c:pt>
                <c:pt idx="64">
                  <c:v>74569.218437819858</c:v>
                </c:pt>
                <c:pt idx="65">
                  <c:v>47439.216288022464</c:v>
                </c:pt>
                <c:pt idx="66">
                  <c:v>-44371.762349912315</c:v>
                </c:pt>
                <c:pt idx="67">
                  <c:v>90237.956605762593</c:v>
                </c:pt>
                <c:pt idx="68">
                  <c:v>-49916.40156075533</c:v>
                </c:pt>
                <c:pt idx="69">
                  <c:v>-160123.86029289884</c:v>
                </c:pt>
                <c:pt idx="70">
                  <c:v>-84745.728868649108</c:v>
                </c:pt>
                <c:pt idx="71">
                  <c:v>-3302.7348004648229</c:v>
                </c:pt>
                <c:pt idx="72">
                  <c:v>-43097.424764065305</c:v>
                </c:pt>
                <c:pt idx="73">
                  <c:v>-44439.59342062287</c:v>
                </c:pt>
                <c:pt idx="74">
                  <c:v>77931.741703346604</c:v>
                </c:pt>
                <c:pt idx="75">
                  <c:v>-5048.7480024682591</c:v>
                </c:pt>
                <c:pt idx="76">
                  <c:v>-38448.553911771276</c:v>
                </c:pt>
                <c:pt idx="77">
                  <c:v>13479.450923285214</c:v>
                </c:pt>
                <c:pt idx="78">
                  <c:v>44580.252053255914</c:v>
                </c:pt>
                <c:pt idx="79">
                  <c:v>-90322.668043910875</c:v>
                </c:pt>
                <c:pt idx="80">
                  <c:v>-69058.462264186703</c:v>
                </c:pt>
                <c:pt idx="81">
                  <c:v>-7682.0376491775969</c:v>
                </c:pt>
                <c:pt idx="82">
                  <c:v>11578.073259081342</c:v>
                </c:pt>
                <c:pt idx="83">
                  <c:v>-69354.337521758629</c:v>
                </c:pt>
                <c:pt idx="84">
                  <c:v>-104294.20794726838</c:v>
                </c:pt>
                <c:pt idx="85">
                  <c:v>-137358.29592046654</c:v>
                </c:pt>
                <c:pt idx="86">
                  <c:v>-112781.77081566502</c:v>
                </c:pt>
                <c:pt idx="87">
                  <c:v>-150519.5198364383</c:v>
                </c:pt>
                <c:pt idx="88">
                  <c:v>42854.355925899581</c:v>
                </c:pt>
                <c:pt idx="89">
                  <c:v>-235026.15489334636</c:v>
                </c:pt>
                <c:pt idx="90">
                  <c:v>4202.6223308843328</c:v>
                </c:pt>
                <c:pt idx="91">
                  <c:v>-40928.868780949851</c:v>
                </c:pt>
                <c:pt idx="92">
                  <c:v>-57822.15411374555</c:v>
                </c:pt>
                <c:pt idx="93">
                  <c:v>49079.135160634294</c:v>
                </c:pt>
                <c:pt idx="94">
                  <c:v>93431.071138634114</c:v>
                </c:pt>
                <c:pt idx="95">
                  <c:v>26816.019153358648</c:v>
                </c:pt>
                <c:pt idx="96">
                  <c:v>150.92655406869017</c:v>
                </c:pt>
                <c:pt idx="97">
                  <c:v>6837.6347643308109</c:v>
                </c:pt>
                <c:pt idx="98">
                  <c:v>-37529.022204460227</c:v>
                </c:pt>
                <c:pt idx="99">
                  <c:v>-2941.6085324968444</c:v>
                </c:pt>
                <c:pt idx="100">
                  <c:v>-38643.990616464522</c:v>
                </c:pt>
                <c:pt idx="101">
                  <c:v>-108529.99464512616</c:v>
                </c:pt>
                <c:pt idx="102">
                  <c:v>-12516.221090170089</c:v>
                </c:pt>
                <c:pt idx="103">
                  <c:v>-3977.5458976600785</c:v>
                </c:pt>
                <c:pt idx="104">
                  <c:v>43106.832081614761</c:v>
                </c:pt>
                <c:pt idx="105">
                  <c:v>63985.243310117512</c:v>
                </c:pt>
                <c:pt idx="106">
                  <c:v>97457.088636177126</c:v>
                </c:pt>
                <c:pt idx="107">
                  <c:v>38711.25334425969</c:v>
                </c:pt>
                <c:pt idx="108">
                  <c:v>-11581.485071992036</c:v>
                </c:pt>
                <c:pt idx="109">
                  <c:v>-44432.299215503968</c:v>
                </c:pt>
                <c:pt idx="110">
                  <c:v>-36011.05281116243</c:v>
                </c:pt>
                <c:pt idx="111">
                  <c:v>40481.658121825545</c:v>
                </c:pt>
                <c:pt idx="112">
                  <c:v>86809.245295017026</c:v>
                </c:pt>
                <c:pt idx="113">
                  <c:v>141861.11903010949</c:v>
                </c:pt>
                <c:pt idx="114">
                  <c:v>64945.792343347799</c:v>
                </c:pt>
                <c:pt idx="115">
                  <c:v>101948.63181582652</c:v>
                </c:pt>
                <c:pt idx="116">
                  <c:v>61134.28822425555</c:v>
                </c:pt>
                <c:pt idx="117">
                  <c:v>137589.23246425716</c:v>
                </c:pt>
                <c:pt idx="118">
                  <c:v>33113.036130436347</c:v>
                </c:pt>
                <c:pt idx="119">
                  <c:v>57642.260959784151</c:v>
                </c:pt>
                <c:pt idx="120">
                  <c:v>-144772.65087411267</c:v>
                </c:pt>
                <c:pt idx="121">
                  <c:v>-83309.070981612429</c:v>
                </c:pt>
                <c:pt idx="122">
                  <c:v>-106353.28984826698</c:v>
                </c:pt>
                <c:pt idx="123">
                  <c:v>-160099.04211543914</c:v>
                </c:pt>
                <c:pt idx="124">
                  <c:v>222710.18210453854</c:v>
                </c:pt>
                <c:pt idx="125">
                  <c:v>186370.21736690099</c:v>
                </c:pt>
                <c:pt idx="126">
                  <c:v>161021.44914337387</c:v>
                </c:pt>
                <c:pt idx="127">
                  <c:v>55819.314270831179</c:v>
                </c:pt>
                <c:pt idx="128">
                  <c:v>147155.46042281331</c:v>
                </c:pt>
                <c:pt idx="129">
                  <c:v>95366.775885088136</c:v>
                </c:pt>
                <c:pt idx="130">
                  <c:v>56412.58867283666</c:v>
                </c:pt>
                <c:pt idx="131">
                  <c:v>109152.74249531887</c:v>
                </c:pt>
                <c:pt idx="132">
                  <c:v>-183135.84745223157</c:v>
                </c:pt>
                <c:pt idx="133">
                  <c:v>-206948.9154328818</c:v>
                </c:pt>
                <c:pt idx="134">
                  <c:v>-78875.899761368637</c:v>
                </c:pt>
                <c:pt idx="135">
                  <c:v>-181552.71142787184</c:v>
                </c:pt>
                <c:pt idx="136">
                  <c:v>-79022.033332859748</c:v>
                </c:pt>
                <c:pt idx="137">
                  <c:v>22619.794455149095</c:v>
                </c:pt>
                <c:pt idx="138">
                  <c:v>49450.657766672317</c:v>
                </c:pt>
                <c:pt idx="139">
                  <c:v>-8370.313354072161</c:v>
                </c:pt>
                <c:pt idx="140">
                  <c:v>45588.465284266626</c:v>
                </c:pt>
                <c:pt idx="141">
                  <c:v>56984.811135831755</c:v>
                </c:pt>
                <c:pt idx="142">
                  <c:v>28086.936830275925</c:v>
                </c:pt>
                <c:pt idx="143">
                  <c:v>27420.486707169446</c:v>
                </c:pt>
                <c:pt idx="144">
                  <c:v>-133154.70705565438</c:v>
                </c:pt>
                <c:pt idx="145">
                  <c:v>-132134.14078704605</c:v>
                </c:pt>
                <c:pt idx="146">
                  <c:v>-72824.939454411273</c:v>
                </c:pt>
                <c:pt idx="147">
                  <c:v>-118273.60019044171</c:v>
                </c:pt>
                <c:pt idx="148">
                  <c:v>-56586.731081105187</c:v>
                </c:pt>
                <c:pt idx="149">
                  <c:v>59837.929133891244</c:v>
                </c:pt>
                <c:pt idx="150">
                  <c:v>35677.542381945066</c:v>
                </c:pt>
                <c:pt idx="151">
                  <c:v>12049.817724816385</c:v>
                </c:pt>
                <c:pt idx="152">
                  <c:v>63158.689092705026</c:v>
                </c:pt>
                <c:pt idx="153">
                  <c:v>624.44523079972714</c:v>
                </c:pt>
                <c:pt idx="154">
                  <c:v>-5775.0953925381182</c:v>
                </c:pt>
                <c:pt idx="155">
                  <c:v>50612.689072586596</c:v>
                </c:pt>
                <c:pt idx="156">
                  <c:v>-45723.578804775723</c:v>
                </c:pt>
                <c:pt idx="157">
                  <c:v>-47925.607754356228</c:v>
                </c:pt>
                <c:pt idx="158">
                  <c:v>42227.2153227526</c:v>
                </c:pt>
                <c:pt idx="159">
                  <c:v>10673.326024852344</c:v>
                </c:pt>
                <c:pt idx="160">
                  <c:v>1445.8511233734898</c:v>
                </c:pt>
                <c:pt idx="161">
                  <c:v>114367.35469373839</c:v>
                </c:pt>
                <c:pt idx="162">
                  <c:v>-5371.5972665009322</c:v>
                </c:pt>
                <c:pt idx="163">
                  <c:v>-11174.727942071971</c:v>
                </c:pt>
                <c:pt idx="164">
                  <c:v>111370.57599003322</c:v>
                </c:pt>
                <c:pt idx="165">
                  <c:v>70327.137888060999</c:v>
                </c:pt>
                <c:pt idx="166">
                  <c:v>40227.261114481837</c:v>
                </c:pt>
                <c:pt idx="167">
                  <c:v>92924.794316491694</c:v>
                </c:pt>
                <c:pt idx="168">
                  <c:v>46894.685972106876</c:v>
                </c:pt>
                <c:pt idx="169">
                  <c:v>-37063.703951678704</c:v>
                </c:pt>
                <c:pt idx="170">
                  <c:v>100689.57815978373</c:v>
                </c:pt>
                <c:pt idx="171">
                  <c:v>40997.904025392607</c:v>
                </c:pt>
                <c:pt idx="172">
                  <c:v>80638.046540076612</c:v>
                </c:pt>
                <c:pt idx="173">
                  <c:v>67639.362394083873</c:v>
                </c:pt>
                <c:pt idx="174">
                  <c:v>52464.319825051934</c:v>
                </c:pt>
                <c:pt idx="175">
                  <c:v>109229.83537250943</c:v>
                </c:pt>
                <c:pt idx="176">
                  <c:v>183026.65572843561</c:v>
                </c:pt>
                <c:pt idx="177">
                  <c:v>160217.88378392067</c:v>
                </c:pt>
                <c:pt idx="178">
                  <c:v>134855.6469849298</c:v>
                </c:pt>
                <c:pt idx="179">
                  <c:v>177787.77188312565</c:v>
                </c:pt>
                <c:pt idx="180">
                  <c:v>148706.95653532201</c:v>
                </c:pt>
                <c:pt idx="181">
                  <c:v>94340.03117172257</c:v>
                </c:pt>
                <c:pt idx="182">
                  <c:v>66114.703356802464</c:v>
                </c:pt>
                <c:pt idx="183">
                  <c:v>135476.73944109934</c:v>
                </c:pt>
                <c:pt idx="184">
                  <c:v>-32126.88442827994</c:v>
                </c:pt>
                <c:pt idx="185">
                  <c:v>-4166.8907215012005</c:v>
                </c:pt>
                <c:pt idx="186">
                  <c:v>102842.39610535349</c:v>
                </c:pt>
                <c:pt idx="187">
                  <c:v>-3231.6797529971227</c:v>
                </c:pt>
                <c:pt idx="188">
                  <c:v>-87350.338111094781</c:v>
                </c:pt>
                <c:pt idx="189">
                  <c:v>-128620.46286596812</c:v>
                </c:pt>
                <c:pt idx="190">
                  <c:v>-197799.26720249973</c:v>
                </c:pt>
                <c:pt idx="191">
                  <c:v>-123819.89622929855</c:v>
                </c:pt>
                <c:pt idx="192">
                  <c:v>-91540.814830717049</c:v>
                </c:pt>
                <c:pt idx="193">
                  <c:v>-57745.566392478533</c:v>
                </c:pt>
                <c:pt idx="194">
                  <c:v>-87007.228448658832</c:v>
                </c:pt>
                <c:pt idx="195">
                  <c:v>-200025.36779905617</c:v>
                </c:pt>
                <c:pt idx="196">
                  <c:v>-22342.990620991099</c:v>
                </c:pt>
                <c:pt idx="197">
                  <c:v>-101713.82983746484</c:v>
                </c:pt>
                <c:pt idx="198">
                  <c:v>-97845.342481061467</c:v>
                </c:pt>
                <c:pt idx="199">
                  <c:v>44270.831954233814</c:v>
                </c:pt>
                <c:pt idx="200">
                  <c:v>-9389.5106636759592</c:v>
                </c:pt>
                <c:pt idx="201">
                  <c:v>60592.840449126088</c:v>
                </c:pt>
                <c:pt idx="202">
                  <c:v>-28660.355508907116</c:v>
                </c:pt>
                <c:pt idx="203">
                  <c:v>-46496.748530347133</c:v>
                </c:pt>
                <c:pt idx="204">
                  <c:v>68170.284492269857</c:v>
                </c:pt>
                <c:pt idx="205">
                  <c:v>119049.33153190021</c:v>
                </c:pt>
                <c:pt idx="206">
                  <c:v>30202.839531353791</c:v>
                </c:pt>
                <c:pt idx="207">
                  <c:v>-4997.2159522839356</c:v>
                </c:pt>
                <c:pt idx="208">
                  <c:v>114532.31836838298</c:v>
                </c:pt>
                <c:pt idx="209">
                  <c:v>-3545.2834486184875</c:v>
                </c:pt>
                <c:pt idx="210">
                  <c:v>156125.54181137704</c:v>
                </c:pt>
                <c:pt idx="211">
                  <c:v>95972.61830949178</c:v>
                </c:pt>
                <c:pt idx="212">
                  <c:v>143006.57525084866</c:v>
                </c:pt>
                <c:pt idx="213">
                  <c:v>155140.48561718652</c:v>
                </c:pt>
                <c:pt idx="214">
                  <c:v>116377.7338172755</c:v>
                </c:pt>
                <c:pt idx="215">
                  <c:v>175207.99853897397</c:v>
                </c:pt>
                <c:pt idx="216">
                  <c:v>-33813.416582778213</c:v>
                </c:pt>
                <c:pt idx="217">
                  <c:v>-10263.504868090618</c:v>
                </c:pt>
                <c:pt idx="218">
                  <c:v>-12616.573841663194</c:v>
                </c:pt>
                <c:pt idx="219">
                  <c:v>10465.50069735432</c:v>
                </c:pt>
                <c:pt idx="220">
                  <c:v>37791.863453087513</c:v>
                </c:pt>
                <c:pt idx="221">
                  <c:v>53980.160163875553</c:v>
                </c:pt>
                <c:pt idx="222">
                  <c:v>29288.375578750507</c:v>
                </c:pt>
                <c:pt idx="223">
                  <c:v>6142.9766800326761</c:v>
                </c:pt>
                <c:pt idx="224">
                  <c:v>-64475.955271839397</c:v>
                </c:pt>
                <c:pt idx="225">
                  <c:v>-146098.89055458596</c:v>
                </c:pt>
                <c:pt idx="226">
                  <c:v>-124522.75600503001</c:v>
                </c:pt>
                <c:pt idx="227">
                  <c:v>-114958.98672104592</c:v>
                </c:pt>
                <c:pt idx="228">
                  <c:v>-69298.794778725132</c:v>
                </c:pt>
                <c:pt idx="229">
                  <c:v>67950.675091806334</c:v>
                </c:pt>
                <c:pt idx="230">
                  <c:v>-34454.500888135633</c:v>
                </c:pt>
                <c:pt idx="231">
                  <c:v>31753.958376822527</c:v>
                </c:pt>
                <c:pt idx="232">
                  <c:v>-3310.4327094095061</c:v>
                </c:pt>
                <c:pt idx="233">
                  <c:v>31237.763240141212</c:v>
                </c:pt>
                <c:pt idx="234">
                  <c:v>-53385.410599146271</c:v>
                </c:pt>
                <c:pt idx="235">
                  <c:v>7751.4769040503306</c:v>
                </c:pt>
                <c:pt idx="236">
                  <c:v>61286.547864142805</c:v>
                </c:pt>
                <c:pt idx="237">
                  <c:v>94199.705977720325</c:v>
                </c:pt>
                <c:pt idx="238">
                  <c:v>75369.079224341316</c:v>
                </c:pt>
                <c:pt idx="239">
                  <c:v>120395.52839445241</c:v>
                </c:pt>
                <c:pt idx="240">
                  <c:v>67358.013602994732</c:v>
                </c:pt>
                <c:pt idx="241">
                  <c:v>5287.2467674375512</c:v>
                </c:pt>
                <c:pt idx="242">
                  <c:v>116669.15800432116</c:v>
                </c:pt>
                <c:pt idx="243">
                  <c:v>88351.610003826674</c:v>
                </c:pt>
                <c:pt idx="244">
                  <c:v>77370.123780080932</c:v>
                </c:pt>
                <c:pt idx="245">
                  <c:v>87344.943237840314</c:v>
                </c:pt>
                <c:pt idx="246">
                  <c:v>-3762.8986828303896</c:v>
                </c:pt>
                <c:pt idx="247">
                  <c:v>73248.476972029428</c:v>
                </c:pt>
                <c:pt idx="248">
                  <c:v>-41143.713395865052</c:v>
                </c:pt>
                <c:pt idx="249">
                  <c:v>-73341.284507648554</c:v>
                </c:pt>
                <c:pt idx="250">
                  <c:v>5481.8149038349511</c:v>
                </c:pt>
                <c:pt idx="251">
                  <c:v>-38929.900183701422</c:v>
                </c:pt>
                <c:pt idx="252">
                  <c:v>29968.559518125374</c:v>
                </c:pt>
                <c:pt idx="253">
                  <c:v>102866.70181846037</c:v>
                </c:pt>
                <c:pt idx="254">
                  <c:v>-1294.915939383558</c:v>
                </c:pt>
                <c:pt idx="255">
                  <c:v>-25669.664453698089</c:v>
                </c:pt>
                <c:pt idx="256">
                  <c:v>140327.89861442964</c:v>
                </c:pt>
                <c:pt idx="257">
                  <c:v>76054.904191171634</c:v>
                </c:pt>
                <c:pt idx="258">
                  <c:v>91233.716344084591</c:v>
                </c:pt>
                <c:pt idx="259">
                  <c:v>133561.9244453276</c:v>
                </c:pt>
                <c:pt idx="260">
                  <c:v>-62844.817573584965</c:v>
                </c:pt>
                <c:pt idx="261">
                  <c:v>-47211.498145211022</c:v>
                </c:pt>
                <c:pt idx="262">
                  <c:v>7295.4826796361012</c:v>
                </c:pt>
                <c:pt idx="263">
                  <c:v>-49145.185964614036</c:v>
                </c:pt>
                <c:pt idx="264">
                  <c:v>22601.424240439082</c:v>
                </c:pt>
                <c:pt idx="265">
                  <c:v>50588.618467102759</c:v>
                </c:pt>
                <c:pt idx="266">
                  <c:v>64264.111323945806</c:v>
                </c:pt>
                <c:pt idx="267">
                  <c:v>57331.246638679644</c:v>
                </c:pt>
                <c:pt idx="268">
                  <c:v>-3966.3710293977056</c:v>
                </c:pt>
                <c:pt idx="269">
                  <c:v>127668.48447851208</c:v>
                </c:pt>
                <c:pt idx="270">
                  <c:v>106955.45324403327</c:v>
                </c:pt>
                <c:pt idx="271">
                  <c:v>-29926.584367287578</c:v>
                </c:pt>
                <c:pt idx="272">
                  <c:v>-23349.437931011897</c:v>
                </c:pt>
                <c:pt idx="273">
                  <c:v>-36580.831210506381</c:v>
                </c:pt>
                <c:pt idx="274">
                  <c:v>-26411.122656919761</c:v>
                </c:pt>
                <c:pt idx="275">
                  <c:v>44402.943076165277</c:v>
                </c:pt>
                <c:pt idx="276">
                  <c:v>-19274.921742533101</c:v>
                </c:pt>
                <c:pt idx="277">
                  <c:v>99333.85332491633</c:v>
                </c:pt>
                <c:pt idx="278">
                  <c:v>92325.024325864739</c:v>
                </c:pt>
                <c:pt idx="279">
                  <c:v>50669.874451719923</c:v>
                </c:pt>
                <c:pt idx="280">
                  <c:v>-133711.29653329158</c:v>
                </c:pt>
                <c:pt idx="281">
                  <c:v>-79267.59285464813</c:v>
                </c:pt>
                <c:pt idx="282">
                  <c:v>12532.482476252713</c:v>
                </c:pt>
                <c:pt idx="283">
                  <c:v>-102945.94417809899</c:v>
                </c:pt>
                <c:pt idx="284">
                  <c:v>-52166.045164295239</c:v>
                </c:pt>
                <c:pt idx="285">
                  <c:v>-86504.528933201102</c:v>
                </c:pt>
                <c:pt idx="286">
                  <c:v>-68747.126601481228</c:v>
                </c:pt>
                <c:pt idx="287">
                  <c:v>-99834.373864009627</c:v>
                </c:pt>
                <c:pt idx="288">
                  <c:v>19550.37358945969</c:v>
                </c:pt>
                <c:pt idx="289">
                  <c:v>-11263.31538790965</c:v>
                </c:pt>
                <c:pt idx="290">
                  <c:v>131713.01031650056</c:v>
                </c:pt>
                <c:pt idx="291">
                  <c:v>26122.202920957003</c:v>
                </c:pt>
                <c:pt idx="292">
                  <c:v>-125283.72564690257</c:v>
                </c:pt>
                <c:pt idx="293">
                  <c:v>-113058.18926273263</c:v>
                </c:pt>
                <c:pt idx="294">
                  <c:v>-189209.95550591563</c:v>
                </c:pt>
                <c:pt idx="295">
                  <c:v>-131385.78655583481</c:v>
                </c:pt>
                <c:pt idx="296">
                  <c:v>-10721.426650287351</c:v>
                </c:pt>
                <c:pt idx="297">
                  <c:v>84241.355060912203</c:v>
                </c:pt>
                <c:pt idx="298">
                  <c:v>-60092.517328299116</c:v>
                </c:pt>
                <c:pt idx="299">
                  <c:v>-211077.56656400143</c:v>
                </c:pt>
                <c:pt idx="300">
                  <c:v>56473.369394549751</c:v>
                </c:pt>
                <c:pt idx="301">
                  <c:v>27304.290655579185</c:v>
                </c:pt>
                <c:pt idx="302">
                  <c:v>57577.918333237991</c:v>
                </c:pt>
                <c:pt idx="303">
                  <c:v>151663.0503998393</c:v>
                </c:pt>
                <c:pt idx="304">
                  <c:v>50164.18685865053</c:v>
                </c:pt>
                <c:pt idx="305">
                  <c:v>-120673.23961447587</c:v>
                </c:pt>
                <c:pt idx="306">
                  <c:v>56889.78800222429</c:v>
                </c:pt>
                <c:pt idx="307">
                  <c:v>-38844.421107664471</c:v>
                </c:pt>
                <c:pt idx="308">
                  <c:v>-35450.191446274519</c:v>
                </c:pt>
                <c:pt idx="309">
                  <c:v>-74728.509102595621</c:v>
                </c:pt>
                <c:pt idx="310">
                  <c:v>-54784.838195579592</c:v>
                </c:pt>
                <c:pt idx="311">
                  <c:v>27151.642265630304</c:v>
                </c:pt>
                <c:pt idx="312">
                  <c:v>-26892.1577223934</c:v>
                </c:pt>
                <c:pt idx="313">
                  <c:v>27995.156925595133</c:v>
                </c:pt>
                <c:pt idx="314">
                  <c:v>18484.718816853128</c:v>
                </c:pt>
                <c:pt idx="315">
                  <c:v>142409.67029916169</c:v>
                </c:pt>
                <c:pt idx="316">
                  <c:v>-103669.111061509</c:v>
                </c:pt>
                <c:pt idx="317">
                  <c:v>-75229.263714940404</c:v>
                </c:pt>
                <c:pt idx="318">
                  <c:v>-8418.8390833891463</c:v>
                </c:pt>
                <c:pt idx="319">
                  <c:v>-87477.407962473459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A9-C04C-B41D-B14302452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36255"/>
        <c:axId val="176411903"/>
      </c:scatterChart>
      <c:valAx>
        <c:axId val="17633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411903"/>
        <c:crosses val="autoZero"/>
        <c:crossBetween val="midCat"/>
      </c:valAx>
      <c:valAx>
        <c:axId val="176411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33625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footfall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'Cleaned Data'!$F$2:$F$321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'SRMODEL 2'!$C$25:$C$344</c:f>
              <c:numCache>
                <c:formatCode>General</c:formatCode>
                <c:ptCount val="320"/>
                <c:pt idx="0">
                  <c:v>-83776.976899014553</c:v>
                </c:pt>
                <c:pt idx="1">
                  <c:v>-114774.03264745302</c:v>
                </c:pt>
                <c:pt idx="2">
                  <c:v>-92822.420098925824</c:v>
                </c:pt>
                <c:pt idx="3">
                  <c:v>-123969.79398002557</c:v>
                </c:pt>
                <c:pt idx="4">
                  <c:v>-45615.949522306677</c:v>
                </c:pt>
                <c:pt idx="5">
                  <c:v>-33934.523197248811</c:v>
                </c:pt>
                <c:pt idx="6">
                  <c:v>-18553.020801104489</c:v>
                </c:pt>
                <c:pt idx="7">
                  <c:v>98099.984866735758</c:v>
                </c:pt>
                <c:pt idx="8">
                  <c:v>92462.013919526944</c:v>
                </c:pt>
                <c:pt idx="9">
                  <c:v>-4878.1388500595931</c:v>
                </c:pt>
                <c:pt idx="10">
                  <c:v>-50588.723932211753</c:v>
                </c:pt>
                <c:pt idx="11">
                  <c:v>63717.068120294134</c:v>
                </c:pt>
                <c:pt idx="12">
                  <c:v>19971.170113064698</c:v>
                </c:pt>
                <c:pt idx="13">
                  <c:v>-78511.227338280529</c:v>
                </c:pt>
                <c:pt idx="14">
                  <c:v>-17265.579325090395</c:v>
                </c:pt>
                <c:pt idx="15">
                  <c:v>-2711.2228686399758</c:v>
                </c:pt>
                <c:pt idx="16">
                  <c:v>-32037.928213577135</c:v>
                </c:pt>
                <c:pt idx="17">
                  <c:v>-25350.83939661982</c:v>
                </c:pt>
                <c:pt idx="18">
                  <c:v>22577.680985763669</c:v>
                </c:pt>
                <c:pt idx="19">
                  <c:v>-28364.254102349281</c:v>
                </c:pt>
                <c:pt idx="20">
                  <c:v>-131372.1666209448</c:v>
                </c:pt>
                <c:pt idx="21">
                  <c:v>-30178.556839023833</c:v>
                </c:pt>
                <c:pt idx="22">
                  <c:v>-10502.079462315887</c:v>
                </c:pt>
                <c:pt idx="23">
                  <c:v>26173.711873237044</c:v>
                </c:pt>
                <c:pt idx="24">
                  <c:v>802.43556580634322</c:v>
                </c:pt>
                <c:pt idx="25">
                  <c:v>35543.573680585134</c:v>
                </c:pt>
                <c:pt idx="26">
                  <c:v>4921.3776244006585</c:v>
                </c:pt>
                <c:pt idx="27">
                  <c:v>-2471.0313716355013</c:v>
                </c:pt>
                <c:pt idx="28">
                  <c:v>-76850.160851643595</c:v>
                </c:pt>
                <c:pt idx="29">
                  <c:v>5702.7128024358535</c:v>
                </c:pt>
                <c:pt idx="30">
                  <c:v>-34397.977714448003</c:v>
                </c:pt>
                <c:pt idx="31">
                  <c:v>-53136.571105487295</c:v>
                </c:pt>
                <c:pt idx="32">
                  <c:v>-140953.70791788027</c:v>
                </c:pt>
                <c:pt idx="33">
                  <c:v>-64187.396328483592</c:v>
                </c:pt>
                <c:pt idx="34">
                  <c:v>15419.87146066688</c:v>
                </c:pt>
                <c:pt idx="35">
                  <c:v>-18373.261736264103</c:v>
                </c:pt>
                <c:pt idx="36">
                  <c:v>58860.908446050249</c:v>
                </c:pt>
                <c:pt idx="37">
                  <c:v>-19070.074362408952</c:v>
                </c:pt>
                <c:pt idx="38">
                  <c:v>20425.54609473946</c:v>
                </c:pt>
                <c:pt idx="39">
                  <c:v>39775.524830843438</c:v>
                </c:pt>
                <c:pt idx="40">
                  <c:v>15203.673340182519</c:v>
                </c:pt>
                <c:pt idx="41">
                  <c:v>-28899.129205364268</c:v>
                </c:pt>
                <c:pt idx="42">
                  <c:v>91140.412661974668</c:v>
                </c:pt>
                <c:pt idx="43">
                  <c:v>28828.027899489971</c:v>
                </c:pt>
                <c:pt idx="44">
                  <c:v>-34506.452802688582</c:v>
                </c:pt>
                <c:pt idx="45">
                  <c:v>-5931.2015179299051</c:v>
                </c:pt>
                <c:pt idx="46">
                  <c:v>32670.276865722262</c:v>
                </c:pt>
                <c:pt idx="47">
                  <c:v>-6397.1515238906723</c:v>
                </c:pt>
                <c:pt idx="48">
                  <c:v>-5699.5135287103476</c:v>
                </c:pt>
                <c:pt idx="49">
                  <c:v>-41447.187666761805</c:v>
                </c:pt>
                <c:pt idx="50">
                  <c:v>-4479.5829580518184</c:v>
                </c:pt>
                <c:pt idx="51">
                  <c:v>70915.19168483431</c:v>
                </c:pt>
                <c:pt idx="52">
                  <c:v>-99864.596821141546</c:v>
                </c:pt>
                <c:pt idx="53">
                  <c:v>90230.598141412134</c:v>
                </c:pt>
                <c:pt idx="54">
                  <c:v>77641.897669361788</c:v>
                </c:pt>
                <c:pt idx="55">
                  <c:v>-61091.875894923054</c:v>
                </c:pt>
                <c:pt idx="56">
                  <c:v>-13203.680824692477</c:v>
                </c:pt>
                <c:pt idx="57">
                  <c:v>-35842.351081644185</c:v>
                </c:pt>
                <c:pt idx="58">
                  <c:v>27383.526091886684</c:v>
                </c:pt>
                <c:pt idx="59">
                  <c:v>-48816.894938900718</c:v>
                </c:pt>
                <c:pt idx="60">
                  <c:v>113841.49419461621</c:v>
                </c:pt>
                <c:pt idx="61">
                  <c:v>29412.59101271478</c:v>
                </c:pt>
                <c:pt idx="62">
                  <c:v>-11581.412408256088</c:v>
                </c:pt>
                <c:pt idx="63">
                  <c:v>79261.04136516666</c:v>
                </c:pt>
                <c:pt idx="64">
                  <c:v>10746.161974570365</c:v>
                </c:pt>
                <c:pt idx="65">
                  <c:v>-12552.599650718621</c:v>
                </c:pt>
                <c:pt idx="66">
                  <c:v>-104539.58610133582</c:v>
                </c:pt>
                <c:pt idx="67">
                  <c:v>-1898.8787125786766</c:v>
                </c:pt>
                <c:pt idx="68">
                  <c:v>87254.03535990417</c:v>
                </c:pt>
                <c:pt idx="69">
                  <c:v>-68471.622993816505</c:v>
                </c:pt>
                <c:pt idx="70">
                  <c:v>44693.333851105534</c:v>
                </c:pt>
                <c:pt idx="71">
                  <c:v>32669.5066326136</c:v>
                </c:pt>
                <c:pt idx="72">
                  <c:v>-41483.760821839678</c:v>
                </c:pt>
                <c:pt idx="73">
                  <c:v>-58940.492880434031</c:v>
                </c:pt>
                <c:pt idx="74">
                  <c:v>98852.417585655698</c:v>
                </c:pt>
                <c:pt idx="75">
                  <c:v>-59985.335345382569</c:v>
                </c:pt>
                <c:pt idx="76">
                  <c:v>-40440.155939884251</c:v>
                </c:pt>
                <c:pt idx="77">
                  <c:v>31989.595810964121</c:v>
                </c:pt>
                <c:pt idx="78">
                  <c:v>63996.694953422411</c:v>
                </c:pt>
                <c:pt idx="79">
                  <c:v>-22989.800561907585</c:v>
                </c:pt>
                <c:pt idx="80">
                  <c:v>-18059.151036938303</c:v>
                </c:pt>
                <c:pt idx="81">
                  <c:v>76994.510761723854</c:v>
                </c:pt>
                <c:pt idx="82">
                  <c:v>115142.50076470431</c:v>
                </c:pt>
                <c:pt idx="83">
                  <c:v>-4287.9155214808416</c:v>
                </c:pt>
                <c:pt idx="84">
                  <c:v>17744.913020515</c:v>
                </c:pt>
                <c:pt idx="85">
                  <c:v>22501.300651194178</c:v>
                </c:pt>
                <c:pt idx="86">
                  <c:v>33037.355362884467</c:v>
                </c:pt>
                <c:pt idx="87">
                  <c:v>-40652.982085480413</c:v>
                </c:pt>
                <c:pt idx="88">
                  <c:v>14200.386811819975</c:v>
                </c:pt>
                <c:pt idx="89">
                  <c:v>-11900.050726211863</c:v>
                </c:pt>
                <c:pt idx="90">
                  <c:v>79801.947003075504</c:v>
                </c:pt>
                <c:pt idx="91">
                  <c:v>7852.2440662041772</c:v>
                </c:pt>
                <c:pt idx="92">
                  <c:v>-21345.345040489337</c:v>
                </c:pt>
                <c:pt idx="93">
                  <c:v>75976.359808554407</c:v>
                </c:pt>
                <c:pt idx="94">
                  <c:v>107485.82941710204</c:v>
                </c:pt>
                <c:pt idx="95">
                  <c:v>-54614.297140936716</c:v>
                </c:pt>
                <c:pt idx="96">
                  <c:v>16577.706387583516</c:v>
                </c:pt>
                <c:pt idx="97">
                  <c:v>105356.95704194822</c:v>
                </c:pt>
                <c:pt idx="98">
                  <c:v>-8750.1353482353734</c:v>
                </c:pt>
                <c:pt idx="99">
                  <c:v>40351.414971432299</c:v>
                </c:pt>
                <c:pt idx="100">
                  <c:v>58831.377899489948</c:v>
                </c:pt>
                <c:pt idx="101">
                  <c:v>-15803.672814610181</c:v>
                </c:pt>
                <c:pt idx="102">
                  <c:v>49939.748777766945</c:v>
                </c:pt>
                <c:pt idx="103">
                  <c:v>92976.690056692576</c:v>
                </c:pt>
                <c:pt idx="104">
                  <c:v>17726.815936395782</c:v>
                </c:pt>
                <c:pt idx="105">
                  <c:v>25596.993522241595</c:v>
                </c:pt>
                <c:pt idx="106">
                  <c:v>99282.463806144428</c:v>
                </c:pt>
                <c:pt idx="107">
                  <c:v>-34379.409767209203</c:v>
                </c:pt>
                <c:pt idx="108">
                  <c:v>14213.540334379417</c:v>
                </c:pt>
                <c:pt idx="109">
                  <c:v>21772.48238403257</c:v>
                </c:pt>
                <c:pt idx="110">
                  <c:v>-15781.657612987095</c:v>
                </c:pt>
                <c:pt idx="111">
                  <c:v>122240.73681790836</c:v>
                </c:pt>
                <c:pt idx="112">
                  <c:v>12098.160468752147</c:v>
                </c:pt>
                <c:pt idx="113">
                  <c:v>88420.600217761239</c:v>
                </c:pt>
                <c:pt idx="114">
                  <c:v>-78252.519579061656</c:v>
                </c:pt>
                <c:pt idx="115">
                  <c:v>-58321.902324805036</c:v>
                </c:pt>
                <c:pt idx="116">
                  <c:v>-10506.033953074366</c:v>
                </c:pt>
                <c:pt idx="117">
                  <c:v>73199.942999396939</c:v>
                </c:pt>
                <c:pt idx="118">
                  <c:v>-65884.663424269063</c:v>
                </c:pt>
                <c:pt idx="119">
                  <c:v>10210.116202288656</c:v>
                </c:pt>
                <c:pt idx="120">
                  <c:v>-74393.226656837098</c:v>
                </c:pt>
                <c:pt idx="121">
                  <c:v>76111.860283712624</c:v>
                </c:pt>
                <c:pt idx="122">
                  <c:v>-46727.254368242226</c:v>
                </c:pt>
                <c:pt idx="123">
                  <c:v>-73137.490158406144</c:v>
                </c:pt>
                <c:pt idx="124">
                  <c:v>97224.776034876355</c:v>
                </c:pt>
                <c:pt idx="125">
                  <c:v>859.21490548085421</c:v>
                </c:pt>
                <c:pt idx="126">
                  <c:v>54165.867576586897</c:v>
                </c:pt>
                <c:pt idx="127">
                  <c:v>-42564.376382130547</c:v>
                </c:pt>
                <c:pt idx="128">
                  <c:v>23778.383136750199</c:v>
                </c:pt>
                <c:pt idx="129">
                  <c:v>-22624.650179651799</c:v>
                </c:pt>
                <c:pt idx="130">
                  <c:v>-64362.28382168198</c:v>
                </c:pt>
                <c:pt idx="131">
                  <c:v>-21565.007637085509</c:v>
                </c:pt>
                <c:pt idx="132">
                  <c:v>-27678.701487998362</c:v>
                </c:pt>
                <c:pt idx="133">
                  <c:v>-110298.88129972323</c:v>
                </c:pt>
                <c:pt idx="134">
                  <c:v>17753.550645233365</c:v>
                </c:pt>
                <c:pt idx="135">
                  <c:v>12629.392070453323</c:v>
                </c:pt>
                <c:pt idx="136">
                  <c:v>-94200.862034941325</c:v>
                </c:pt>
                <c:pt idx="137">
                  <c:v>74164.631048479467</c:v>
                </c:pt>
                <c:pt idx="138">
                  <c:v>78940.021726687439</c:v>
                </c:pt>
                <c:pt idx="139">
                  <c:v>5168.6872540664626</c:v>
                </c:pt>
                <c:pt idx="140">
                  <c:v>40177.241362186382</c:v>
                </c:pt>
                <c:pt idx="141">
                  <c:v>29501.466755064903</c:v>
                </c:pt>
                <c:pt idx="142">
                  <c:v>34826.21166099119</c:v>
                </c:pt>
                <c:pt idx="143">
                  <c:v>31444.39586473885</c:v>
                </c:pt>
                <c:pt idx="144">
                  <c:v>-22521.682919179089</c:v>
                </c:pt>
                <c:pt idx="145">
                  <c:v>-21809.406874916167</c:v>
                </c:pt>
                <c:pt idx="146">
                  <c:v>3205.5527276708744</c:v>
                </c:pt>
                <c:pt idx="147">
                  <c:v>5032.8529727009591</c:v>
                </c:pt>
                <c:pt idx="148">
                  <c:v>-22513.900520054391</c:v>
                </c:pt>
                <c:pt idx="149">
                  <c:v>32730.98550917895</c:v>
                </c:pt>
                <c:pt idx="150">
                  <c:v>52320.494612892042</c:v>
                </c:pt>
                <c:pt idx="151">
                  <c:v>68544.565395668847</c:v>
                </c:pt>
                <c:pt idx="152">
                  <c:v>-6531.6055306772469</c:v>
                </c:pt>
                <c:pt idx="153">
                  <c:v>11612.157636449905</c:v>
                </c:pt>
                <c:pt idx="154">
                  <c:v>-36906.693591553834</c:v>
                </c:pt>
                <c:pt idx="155">
                  <c:v>-18562.735975776566</c:v>
                </c:pt>
                <c:pt idx="156">
                  <c:v>24472.065455404227</c:v>
                </c:pt>
                <c:pt idx="157">
                  <c:v>-37069.630726211937</c:v>
                </c:pt>
                <c:pt idx="158">
                  <c:v>27524.099091473734</c:v>
                </c:pt>
                <c:pt idx="159">
                  <c:v>37309.061529598781</c:v>
                </c:pt>
                <c:pt idx="160">
                  <c:v>-61910.244580487953</c:v>
                </c:pt>
                <c:pt idx="161">
                  <c:v>82427.503806144465</c:v>
                </c:pt>
                <c:pt idx="162">
                  <c:v>-56093.886695837486</c:v>
                </c:pt>
                <c:pt idx="163">
                  <c:v>29567.578921208624</c:v>
                </c:pt>
                <c:pt idx="164">
                  <c:v>46761.043375819572</c:v>
                </c:pt>
                <c:pt idx="165">
                  <c:v>-53699.278031390393</c:v>
                </c:pt>
                <c:pt idx="166">
                  <c:v>-28445.740547005669</c:v>
                </c:pt>
                <c:pt idx="167">
                  <c:v>37518.093740320648</c:v>
                </c:pt>
                <c:pt idx="168">
                  <c:v>-41024.716208885075</c:v>
                </c:pt>
                <c:pt idx="169">
                  <c:v>-123070.20634027757</c:v>
                </c:pt>
                <c:pt idx="170">
                  <c:v>4009.4769969871268</c:v>
                </c:pt>
                <c:pt idx="171">
                  <c:v>-40365.189292178489</c:v>
                </c:pt>
                <c:pt idx="172">
                  <c:v>22071.927460096427</c:v>
                </c:pt>
                <c:pt idx="173">
                  <c:v>-63274.207502585021</c:v>
                </c:pt>
                <c:pt idx="174">
                  <c:v>-38844.62625371851</c:v>
                </c:pt>
                <c:pt idx="175">
                  <c:v>-13269.462151559535</c:v>
                </c:pt>
                <c:pt idx="176">
                  <c:v>111.02497713791672</c:v>
                </c:pt>
                <c:pt idx="177">
                  <c:v>54423.020815370954</c:v>
                </c:pt>
                <c:pt idx="178">
                  <c:v>19080.801451725769</c:v>
                </c:pt>
                <c:pt idx="179">
                  <c:v>94875.824370714603</c:v>
                </c:pt>
                <c:pt idx="180">
                  <c:v>10977.938481814926</c:v>
                </c:pt>
                <c:pt idx="181">
                  <c:v>-26358.577505565365</c:v>
                </c:pt>
                <c:pt idx="182">
                  <c:v>-35406.343818701687</c:v>
                </c:pt>
                <c:pt idx="183">
                  <c:v>-9967.7246851846576</c:v>
                </c:pt>
                <c:pt idx="184">
                  <c:v>18379.836020102026</c:v>
                </c:pt>
                <c:pt idx="185">
                  <c:v>44519.56787253893</c:v>
                </c:pt>
                <c:pt idx="186">
                  <c:v>87018.316596721299</c:v>
                </c:pt>
                <c:pt idx="187">
                  <c:v>-16862.345402137493</c:v>
                </c:pt>
                <c:pt idx="188">
                  <c:v>54496.070125369122</c:v>
                </c:pt>
                <c:pt idx="189">
                  <c:v>22064.739226101898</c:v>
                </c:pt>
                <c:pt idx="190">
                  <c:v>-48374.736334061541</c:v>
                </c:pt>
                <c:pt idx="191">
                  <c:v>-50202.444368242286</c:v>
                </c:pt>
                <c:pt idx="192">
                  <c:v>-23364.930869653588</c:v>
                </c:pt>
                <c:pt idx="193">
                  <c:v>-18228.172958051786</c:v>
                </c:pt>
                <c:pt idx="194">
                  <c:v>-21958.554481752217</c:v>
                </c:pt>
                <c:pt idx="195">
                  <c:v>-108796.1503466813</c:v>
                </c:pt>
                <c:pt idx="196">
                  <c:v>67717.032635023585</c:v>
                </c:pt>
                <c:pt idx="197">
                  <c:v>-28114.256597101688</c:v>
                </c:pt>
                <c:pt idx="198">
                  <c:v>-46279.034670027439</c:v>
                </c:pt>
                <c:pt idx="199">
                  <c:v>90471.033836076036</c:v>
                </c:pt>
                <c:pt idx="200">
                  <c:v>-59968.357971527381</c:v>
                </c:pt>
                <c:pt idx="201">
                  <c:v>113357.98654294666</c:v>
                </c:pt>
                <c:pt idx="202">
                  <c:v>-85361.365210882039</c:v>
                </c:pt>
                <c:pt idx="203">
                  <c:v>-10218.449835885782</c:v>
                </c:pt>
                <c:pt idx="204">
                  <c:v>40564.914621705655</c:v>
                </c:pt>
                <c:pt idx="205">
                  <c:v>68089.392369002919</c:v>
                </c:pt>
                <c:pt idx="206">
                  <c:v>-105741.15538127488</c:v>
                </c:pt>
                <c:pt idx="207">
                  <c:v>-66727.644930087146</c:v>
                </c:pt>
                <c:pt idx="208">
                  <c:v>2795.8824555620085</c:v>
                </c:pt>
                <c:pt idx="209">
                  <c:v>-92565.21081898699</c:v>
                </c:pt>
                <c:pt idx="210">
                  <c:v>41246.697161163902</c:v>
                </c:pt>
                <c:pt idx="211">
                  <c:v>-32379.511954343179</c:v>
                </c:pt>
                <c:pt idx="212">
                  <c:v>26622.331720598973</c:v>
                </c:pt>
                <c:pt idx="213">
                  <c:v>22763.288610354532</c:v>
                </c:pt>
                <c:pt idx="214">
                  <c:v>-38167.794598498032</c:v>
                </c:pt>
                <c:pt idx="215">
                  <c:v>-9952.5636932699708</c:v>
                </c:pt>
                <c:pt idx="216">
                  <c:v>35431.217460223939</c:v>
                </c:pt>
                <c:pt idx="217">
                  <c:v>-2407.8107321726857</c:v>
                </c:pt>
                <c:pt idx="218">
                  <c:v>67564.212264561676</c:v>
                </c:pt>
                <c:pt idx="219">
                  <c:v>-7034.1122917653993</c:v>
                </c:pt>
                <c:pt idx="220">
                  <c:v>5680.7025154250441</c:v>
                </c:pt>
                <c:pt idx="221">
                  <c:v>-37900.184995783377</c:v>
                </c:pt>
                <c:pt idx="222">
                  <c:v>5114.4522136397427</c:v>
                </c:pt>
                <c:pt idx="223">
                  <c:v>-35882.549534228165</c:v>
                </c:pt>
                <c:pt idx="224">
                  <c:v>27003.456620692043</c:v>
                </c:pt>
                <c:pt idx="225">
                  <c:v>-11262.057242397685</c:v>
                </c:pt>
                <c:pt idx="226">
                  <c:v>-56874.359247217188</c:v>
                </c:pt>
                <c:pt idx="227">
                  <c:v>34131.064341165882</c:v>
                </c:pt>
                <c:pt idx="228">
                  <c:v>-87981.304033672553</c:v>
                </c:pt>
                <c:pt idx="229">
                  <c:v>104815.98062411544</c:v>
                </c:pt>
                <c:pt idx="230">
                  <c:v>-82954.026304385276</c:v>
                </c:pt>
                <c:pt idx="231">
                  <c:v>6407.2515026475303</c:v>
                </c:pt>
                <c:pt idx="232">
                  <c:v>59530.432572307647</c:v>
                </c:pt>
                <c:pt idx="233">
                  <c:v>87051.723728526616</c:v>
                </c:pt>
                <c:pt idx="234">
                  <c:v>-1223.9851809504908</c:v>
                </c:pt>
                <c:pt idx="235">
                  <c:v>4121.1233789275866</c:v>
                </c:pt>
                <c:pt idx="236">
                  <c:v>-78829.164801675128</c:v>
                </c:pt>
                <c:pt idx="237">
                  <c:v>7306.8384639325086</c:v>
                </c:pt>
                <c:pt idx="238">
                  <c:v>-30639.590400711168</c:v>
                </c:pt>
                <c:pt idx="239">
                  <c:v>-41645.584344526636</c:v>
                </c:pt>
                <c:pt idx="240">
                  <c:v>43195.806775927776</c:v>
                </c:pt>
                <c:pt idx="241">
                  <c:v>28417.30756777327</c:v>
                </c:pt>
                <c:pt idx="242">
                  <c:v>22317.245978121297</c:v>
                </c:pt>
                <c:pt idx="243">
                  <c:v>31182.376360632363</c:v>
                </c:pt>
                <c:pt idx="244">
                  <c:v>36843.56746307679</c:v>
                </c:pt>
                <c:pt idx="245">
                  <c:v>-7515.4882913226029</c:v>
                </c:pt>
                <c:pt idx="246">
                  <c:v>-30269.524063604185</c:v>
                </c:pt>
                <c:pt idx="247">
                  <c:v>-56191.777212721296</c:v>
                </c:pt>
                <c:pt idx="248">
                  <c:v>22120.716659564874</c:v>
                </c:pt>
                <c:pt idx="249">
                  <c:v>-9343.0120677256491</c:v>
                </c:pt>
                <c:pt idx="250">
                  <c:v>-24013.315375186387</c:v>
                </c:pt>
                <c:pt idx="251">
                  <c:v>38992.134529185831</c:v>
                </c:pt>
                <c:pt idx="252">
                  <c:v>76570.010331398924</c:v>
                </c:pt>
                <c:pt idx="253">
                  <c:v>108027.77603202348</c:v>
                </c:pt>
                <c:pt idx="254">
                  <c:v>72409.183785281726</c:v>
                </c:pt>
                <c:pt idx="255">
                  <c:v>-40489.208751323749</c:v>
                </c:pt>
                <c:pt idx="256">
                  <c:v>102386.41335793724</c:v>
                </c:pt>
                <c:pt idx="257">
                  <c:v>-18747.900278132292</c:v>
                </c:pt>
                <c:pt idx="258">
                  <c:v>-8339.1132151312195</c:v>
                </c:pt>
                <c:pt idx="259">
                  <c:v>50126.685580835911</c:v>
                </c:pt>
                <c:pt idx="260">
                  <c:v>-26268.923612288898</c:v>
                </c:pt>
                <c:pt idx="261">
                  <c:v>-11307.275554392836</c:v>
                </c:pt>
                <c:pt idx="262">
                  <c:v>56336.358747963095</c:v>
                </c:pt>
                <c:pt idx="263">
                  <c:v>46705.606091886642</c:v>
                </c:pt>
                <c:pt idx="264">
                  <c:v>1268.7074900277657</c:v>
                </c:pt>
                <c:pt idx="265">
                  <c:v>31355.642476552166</c:v>
                </c:pt>
                <c:pt idx="266">
                  <c:v>14851.697448174818</c:v>
                </c:pt>
                <c:pt idx="267">
                  <c:v>57608.782100129756</c:v>
                </c:pt>
                <c:pt idx="268">
                  <c:v>-73056.09913085436</c:v>
                </c:pt>
                <c:pt idx="269">
                  <c:v>6897.5239256154746</c:v>
                </c:pt>
                <c:pt idx="270">
                  <c:v>-10284.615626304992</c:v>
                </c:pt>
                <c:pt idx="271">
                  <c:v>-118726.20230083424</c:v>
                </c:pt>
                <c:pt idx="272">
                  <c:v>-4342.9317062050104</c:v>
                </c:pt>
                <c:pt idx="273">
                  <c:v>-3478.3842815556563</c:v>
                </c:pt>
                <c:pt idx="274">
                  <c:v>-16328.048129871022</c:v>
                </c:pt>
                <c:pt idx="275">
                  <c:v>30076.649954976281</c:v>
                </c:pt>
                <c:pt idx="276">
                  <c:v>-78880.901040046359</c:v>
                </c:pt>
                <c:pt idx="277">
                  <c:v>6677.910453850287</c:v>
                </c:pt>
                <c:pt idx="278">
                  <c:v>-22452.774655253044</c:v>
                </c:pt>
                <c:pt idx="279">
                  <c:v>-10279.347974635311</c:v>
                </c:pt>
                <c:pt idx="280">
                  <c:v>-65008.05390811339</c:v>
                </c:pt>
                <c:pt idx="281">
                  <c:v>-46230.638255302561</c:v>
                </c:pt>
                <c:pt idx="282">
                  <c:v>62702.808553727227</c:v>
                </c:pt>
                <c:pt idx="283">
                  <c:v>-56968.162990836136</c:v>
                </c:pt>
                <c:pt idx="284">
                  <c:v>-8076.1317599796457</c:v>
                </c:pt>
                <c:pt idx="285">
                  <c:v>26511.621643108898</c:v>
                </c:pt>
                <c:pt idx="286">
                  <c:v>15046.451741716941</c:v>
                </c:pt>
                <c:pt idx="287">
                  <c:v>-44372.742145343567</c:v>
                </c:pt>
                <c:pt idx="288">
                  <c:v>-19678.57855423505</c:v>
                </c:pt>
                <c:pt idx="289">
                  <c:v>-28223.667114113225</c:v>
                </c:pt>
                <c:pt idx="290">
                  <c:v>70778.469163130736</c:v>
                </c:pt>
                <c:pt idx="291">
                  <c:v>2950.8429785342887</c:v>
                </c:pt>
                <c:pt idx="292">
                  <c:v>-36976.454066456994</c:v>
                </c:pt>
                <c:pt idx="293">
                  <c:v>2581.8797967603896</c:v>
                </c:pt>
                <c:pt idx="294">
                  <c:v>8640.0808156261919</c:v>
                </c:pt>
                <c:pt idx="295">
                  <c:v>-20145.570472112915</c:v>
                </c:pt>
                <c:pt idx="296">
                  <c:v>11691.115861758473</c:v>
                </c:pt>
                <c:pt idx="297">
                  <c:v>106144.44964424986</c:v>
                </c:pt>
                <c:pt idx="298">
                  <c:v>-22144.249127746443</c:v>
                </c:pt>
                <c:pt idx="299">
                  <c:v>-96989.28436215379</c:v>
                </c:pt>
                <c:pt idx="300">
                  <c:v>-37012.705345382565</c:v>
                </c:pt>
                <c:pt idx="301">
                  <c:v>-7095.6431732780766</c:v>
                </c:pt>
                <c:pt idx="302">
                  <c:v>-10506.53384254477</c:v>
                </c:pt>
                <c:pt idx="303">
                  <c:v>42217.038798629656</c:v>
                </c:pt>
                <c:pt idx="304">
                  <c:v>48426.642037413782</c:v>
                </c:pt>
                <c:pt idx="305">
                  <c:v>-115109.87527955871</c:v>
                </c:pt>
                <c:pt idx="306">
                  <c:v>-5875.3667226609541</c:v>
                </c:pt>
                <c:pt idx="307">
                  <c:v>-23550.123767779674</c:v>
                </c:pt>
                <c:pt idx="308">
                  <c:v>-23342.063881289796</c:v>
                </c:pt>
                <c:pt idx="309">
                  <c:v>-98444.137152858311</c:v>
                </c:pt>
                <c:pt idx="310">
                  <c:v>-18607.703782681609</c:v>
                </c:pt>
                <c:pt idx="311">
                  <c:v>57882.492673768546</c:v>
                </c:pt>
                <c:pt idx="312">
                  <c:v>35722.503534290707</c:v>
                </c:pt>
                <c:pt idx="313">
                  <c:v>-42503.064676115871</c:v>
                </c:pt>
                <c:pt idx="314">
                  <c:v>51897.000630203867</c:v>
                </c:pt>
                <c:pt idx="315">
                  <c:v>42697.151365039172</c:v>
                </c:pt>
                <c:pt idx="316">
                  <c:v>-27334.800152573036</c:v>
                </c:pt>
                <c:pt idx="317">
                  <c:v>-33225.218631725176</c:v>
                </c:pt>
                <c:pt idx="318">
                  <c:v>2968.9454762670211</c:v>
                </c:pt>
                <c:pt idx="319">
                  <c:v>-76449.834147182759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05-EE42-A5DE-54680E693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0975"/>
        <c:axId val="2139066752"/>
      </c:scatterChart>
      <c:valAx>
        <c:axId val="16190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9066752"/>
        <c:crosses val="autoZero"/>
        <c:crossBetween val="midCat"/>
      </c:valAx>
      <c:valAx>
        <c:axId val="2139066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9097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marketing_spend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'MR Input'!$D$2:$D$321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'MR Output'!$C$35:$C$354</c:f>
              <c:numCache>
                <c:formatCode>General</c:formatCode>
                <c:ptCount val="320"/>
                <c:pt idx="0">
                  <c:v>-23396.626781843137</c:v>
                </c:pt>
                <c:pt idx="1">
                  <c:v>-40589.274646520149</c:v>
                </c:pt>
                <c:pt idx="2">
                  <c:v>-54738.979435316287</c:v>
                </c:pt>
                <c:pt idx="3">
                  <c:v>-80673.972340586013</c:v>
                </c:pt>
                <c:pt idx="4">
                  <c:v>-48983.906844820362</c:v>
                </c:pt>
                <c:pt idx="5">
                  <c:v>-21788.994438463938</c:v>
                </c:pt>
                <c:pt idx="6">
                  <c:v>16106.574343493208</c:v>
                </c:pt>
                <c:pt idx="7">
                  <c:v>74722.573556983261</c:v>
                </c:pt>
                <c:pt idx="8">
                  <c:v>65114.694738529157</c:v>
                </c:pt>
                <c:pt idx="9">
                  <c:v>-24713.516222127946</c:v>
                </c:pt>
                <c:pt idx="10">
                  <c:v>-35078.386815394508</c:v>
                </c:pt>
                <c:pt idx="11">
                  <c:v>41587.256043890025</c:v>
                </c:pt>
                <c:pt idx="12">
                  <c:v>54466.515269455151</c:v>
                </c:pt>
                <c:pt idx="13">
                  <c:v>-38824.672632375965</c:v>
                </c:pt>
                <c:pt idx="14">
                  <c:v>7490.529813800822</c:v>
                </c:pt>
                <c:pt idx="15">
                  <c:v>31047.402063647634</c:v>
                </c:pt>
                <c:pt idx="16">
                  <c:v>-14466.638574450044</c:v>
                </c:pt>
                <c:pt idx="17">
                  <c:v>-17967.734839509358</c:v>
                </c:pt>
                <c:pt idx="18">
                  <c:v>-20588.291941397823</c:v>
                </c:pt>
                <c:pt idx="19">
                  <c:v>-4500.2829324092017</c:v>
                </c:pt>
                <c:pt idx="20">
                  <c:v>-84848.752077705634</c:v>
                </c:pt>
                <c:pt idx="21">
                  <c:v>-2247.007168705517</c:v>
                </c:pt>
                <c:pt idx="22">
                  <c:v>33216.096190231852</c:v>
                </c:pt>
                <c:pt idx="23">
                  <c:v>15763.265457478585</c:v>
                </c:pt>
                <c:pt idx="24">
                  <c:v>-28825.022886868916</c:v>
                </c:pt>
                <c:pt idx="25">
                  <c:v>-112680.30349482025</c:v>
                </c:pt>
                <c:pt idx="26">
                  <c:v>-19187.56667163712</c:v>
                </c:pt>
                <c:pt idx="27">
                  <c:v>-1982.2051082962425</c:v>
                </c:pt>
                <c:pt idx="28">
                  <c:v>-54597.565121964726</c:v>
                </c:pt>
                <c:pt idx="29">
                  <c:v>35273.884643438621</c:v>
                </c:pt>
                <c:pt idx="30">
                  <c:v>5064.9537055502879</c:v>
                </c:pt>
                <c:pt idx="31">
                  <c:v>-50092.283397609252</c:v>
                </c:pt>
                <c:pt idx="32">
                  <c:v>-99075.453786892351</c:v>
                </c:pt>
                <c:pt idx="33">
                  <c:v>-47329.614193545538</c:v>
                </c:pt>
                <c:pt idx="34">
                  <c:v>9811.4259448212106</c:v>
                </c:pt>
                <c:pt idx="35">
                  <c:v>-8535.2947134464048</c:v>
                </c:pt>
                <c:pt idx="36">
                  <c:v>42055.875067052781</c:v>
                </c:pt>
                <c:pt idx="37">
                  <c:v>-41249.791617452633</c:v>
                </c:pt>
                <c:pt idx="38">
                  <c:v>-12094.301091901609</c:v>
                </c:pt>
                <c:pt idx="39">
                  <c:v>-3967.3774898507399</c:v>
                </c:pt>
                <c:pt idx="40">
                  <c:v>4417.2622600748437</c:v>
                </c:pt>
                <c:pt idx="41">
                  <c:v>8801.1888409905368</c:v>
                </c:pt>
                <c:pt idx="42">
                  <c:v>69029.08785512601</c:v>
                </c:pt>
                <c:pt idx="43">
                  <c:v>4527.6321805616608</c:v>
                </c:pt>
                <c:pt idx="44">
                  <c:v>-119858.46516582719</c:v>
                </c:pt>
                <c:pt idx="45">
                  <c:v>-29424.765788684483</c:v>
                </c:pt>
                <c:pt idx="46">
                  <c:v>45989.753125274903</c:v>
                </c:pt>
                <c:pt idx="47">
                  <c:v>26186.059941890649</c:v>
                </c:pt>
                <c:pt idx="48">
                  <c:v>-43005.161184015567</c:v>
                </c:pt>
                <c:pt idx="49">
                  <c:v>3594.0575298904441</c:v>
                </c:pt>
                <c:pt idx="50">
                  <c:v>5119.67701850296</c:v>
                </c:pt>
                <c:pt idx="51">
                  <c:v>24134.723394281114</c:v>
                </c:pt>
                <c:pt idx="52">
                  <c:v>-99951.999509744695</c:v>
                </c:pt>
                <c:pt idx="53">
                  <c:v>22211.565001384588</c:v>
                </c:pt>
                <c:pt idx="54">
                  <c:v>31813.553961634985</c:v>
                </c:pt>
                <c:pt idx="55">
                  <c:v>-49662.841596194368</c:v>
                </c:pt>
                <c:pt idx="56">
                  <c:v>-10161.150369689916</c:v>
                </c:pt>
                <c:pt idx="57">
                  <c:v>-25124.737045928836</c:v>
                </c:pt>
                <c:pt idx="58">
                  <c:v>-51497.728718375205</c:v>
                </c:pt>
                <c:pt idx="59">
                  <c:v>-54496.372349109151</c:v>
                </c:pt>
                <c:pt idx="60">
                  <c:v>57951.797879582387</c:v>
                </c:pt>
                <c:pt idx="61">
                  <c:v>42882.596153215971</c:v>
                </c:pt>
                <c:pt idx="62">
                  <c:v>-11962.920377109898</c:v>
                </c:pt>
                <c:pt idx="63">
                  <c:v>41371.094150976976</c:v>
                </c:pt>
                <c:pt idx="64">
                  <c:v>-24625.628438642598</c:v>
                </c:pt>
                <c:pt idx="65">
                  <c:v>-22386.048004407203</c:v>
                </c:pt>
                <c:pt idx="66">
                  <c:v>-159545.34921086964</c:v>
                </c:pt>
                <c:pt idx="67">
                  <c:v>5163.1553148837993</c:v>
                </c:pt>
                <c:pt idx="68">
                  <c:v>81093.947258593515</c:v>
                </c:pt>
                <c:pt idx="69">
                  <c:v>-11348.700272688933</c:v>
                </c:pt>
                <c:pt idx="70">
                  <c:v>23900.138530391036</c:v>
                </c:pt>
                <c:pt idx="71">
                  <c:v>43893.202803671127</c:v>
                </c:pt>
                <c:pt idx="72">
                  <c:v>24286.882529946859</c:v>
                </c:pt>
                <c:pt idx="73">
                  <c:v>-56455.345427068882</c:v>
                </c:pt>
                <c:pt idx="74">
                  <c:v>92630.743504519342</c:v>
                </c:pt>
                <c:pt idx="75">
                  <c:v>-27963.210606254521</c:v>
                </c:pt>
                <c:pt idx="76">
                  <c:v>-10280.063729639282</c:v>
                </c:pt>
                <c:pt idx="77">
                  <c:v>42807.102380570839</c:v>
                </c:pt>
                <c:pt idx="78">
                  <c:v>51721.538853458012</c:v>
                </c:pt>
                <c:pt idx="79">
                  <c:v>-23075.104466554476</c:v>
                </c:pt>
                <c:pt idx="80">
                  <c:v>-39107.691414364264</c:v>
                </c:pt>
                <c:pt idx="81">
                  <c:v>33691.394678910729</c:v>
                </c:pt>
                <c:pt idx="82">
                  <c:v>64637.530529205338</c:v>
                </c:pt>
                <c:pt idx="83">
                  <c:v>368.90728751698043</c:v>
                </c:pt>
                <c:pt idx="84">
                  <c:v>-1410.3824697458185</c:v>
                </c:pt>
                <c:pt idx="85">
                  <c:v>-36538.832739606267</c:v>
                </c:pt>
                <c:pt idx="86">
                  <c:v>-15777.861594122718</c:v>
                </c:pt>
                <c:pt idx="87">
                  <c:v>-16435.163458375144</c:v>
                </c:pt>
                <c:pt idx="88">
                  <c:v>21755.457781846984</c:v>
                </c:pt>
                <c:pt idx="89">
                  <c:v>-145887.49825806229</c:v>
                </c:pt>
                <c:pt idx="90">
                  <c:v>2237.4343256924767</c:v>
                </c:pt>
                <c:pt idx="91">
                  <c:v>14437.798364212271</c:v>
                </c:pt>
                <c:pt idx="92">
                  <c:v>-9434.9598424386932</c:v>
                </c:pt>
                <c:pt idx="93">
                  <c:v>50092.299131099135</c:v>
                </c:pt>
                <c:pt idx="94">
                  <c:v>56673.539790682495</c:v>
                </c:pt>
                <c:pt idx="95">
                  <c:v>-17922.169680106104</c:v>
                </c:pt>
                <c:pt idx="96">
                  <c:v>-22456.368847186794</c:v>
                </c:pt>
                <c:pt idx="97">
                  <c:v>60317.828572276398</c:v>
                </c:pt>
                <c:pt idx="98">
                  <c:v>-22505.275326767354</c:v>
                </c:pt>
                <c:pt idx="99">
                  <c:v>7881.3132524674293</c:v>
                </c:pt>
                <c:pt idx="100">
                  <c:v>41162.478323775344</c:v>
                </c:pt>
                <c:pt idx="101">
                  <c:v>-44286.779506593593</c:v>
                </c:pt>
                <c:pt idx="102">
                  <c:v>27523.796681808657</c:v>
                </c:pt>
                <c:pt idx="103">
                  <c:v>84798.177160112187</c:v>
                </c:pt>
                <c:pt idx="104">
                  <c:v>38910.187828109134</c:v>
                </c:pt>
                <c:pt idx="105">
                  <c:v>-3073.8266053253319</c:v>
                </c:pt>
                <c:pt idx="106">
                  <c:v>76768.141347562429</c:v>
                </c:pt>
                <c:pt idx="107">
                  <c:v>-1939.1162745676702</c:v>
                </c:pt>
                <c:pt idx="108">
                  <c:v>36794.303905852372</c:v>
                </c:pt>
                <c:pt idx="109">
                  <c:v>16947.442180440761</c:v>
                </c:pt>
                <c:pt idx="110">
                  <c:v>-23166.90868565999</c:v>
                </c:pt>
                <c:pt idx="111">
                  <c:v>112722.72216396674</c:v>
                </c:pt>
                <c:pt idx="112">
                  <c:v>38935.058477346203</c:v>
                </c:pt>
                <c:pt idx="113">
                  <c:v>33051.941057308461</c:v>
                </c:pt>
                <c:pt idx="114">
                  <c:v>-50182.487019258668</c:v>
                </c:pt>
                <c:pt idx="115">
                  <c:v>-41075.971891315421</c:v>
                </c:pt>
                <c:pt idx="116">
                  <c:v>47.99631519196555</c:v>
                </c:pt>
                <c:pt idx="117">
                  <c:v>87296.097406457993</c:v>
                </c:pt>
                <c:pt idx="118">
                  <c:v>-71310.480207910878</c:v>
                </c:pt>
                <c:pt idx="119">
                  <c:v>-4975.8186270925216</c:v>
                </c:pt>
                <c:pt idx="120">
                  <c:v>-53482.204880068835</c:v>
                </c:pt>
                <c:pt idx="121">
                  <c:v>36026.783350614714</c:v>
                </c:pt>
                <c:pt idx="122">
                  <c:v>-32454.983670084155</c:v>
                </c:pt>
                <c:pt idx="123">
                  <c:v>-64254.582701205742</c:v>
                </c:pt>
                <c:pt idx="124">
                  <c:v>76285.972583058174</c:v>
                </c:pt>
                <c:pt idx="125">
                  <c:v>-21552.785960535868</c:v>
                </c:pt>
                <c:pt idx="126">
                  <c:v>39927.543372862041</c:v>
                </c:pt>
                <c:pt idx="127">
                  <c:v>-20106.380810166826</c:v>
                </c:pt>
                <c:pt idx="128">
                  <c:v>21931.25204198854</c:v>
                </c:pt>
                <c:pt idx="129">
                  <c:v>2609.2773674819618</c:v>
                </c:pt>
                <c:pt idx="130">
                  <c:v>-67035.235336851794</c:v>
                </c:pt>
                <c:pt idx="131">
                  <c:v>-17167.500484380987</c:v>
                </c:pt>
                <c:pt idx="132">
                  <c:v>-54908.016204070649</c:v>
                </c:pt>
                <c:pt idx="133">
                  <c:v>-49454.116014564352</c:v>
                </c:pt>
                <c:pt idx="134">
                  <c:v>-9712.9947791201994</c:v>
                </c:pt>
                <c:pt idx="135">
                  <c:v>-20223.005314715789</c:v>
                </c:pt>
                <c:pt idx="136">
                  <c:v>-74463.764339236193</c:v>
                </c:pt>
                <c:pt idx="137">
                  <c:v>36369.103639803943</c:v>
                </c:pt>
                <c:pt idx="138">
                  <c:v>75120.106078310753</c:v>
                </c:pt>
                <c:pt idx="139">
                  <c:v>28361.153977255453</c:v>
                </c:pt>
                <c:pt idx="140">
                  <c:v>37765.580174423987</c:v>
                </c:pt>
                <c:pt idx="141">
                  <c:v>7894.2769953686511</c:v>
                </c:pt>
                <c:pt idx="142">
                  <c:v>37405.885216745897</c:v>
                </c:pt>
                <c:pt idx="143">
                  <c:v>14670.848274462973</c:v>
                </c:pt>
                <c:pt idx="144">
                  <c:v>-16303.097614999395</c:v>
                </c:pt>
                <c:pt idx="145">
                  <c:v>-13593.497124249232</c:v>
                </c:pt>
                <c:pt idx="146">
                  <c:v>16090.198541079648</c:v>
                </c:pt>
                <c:pt idx="147">
                  <c:v>18741.353853696026</c:v>
                </c:pt>
                <c:pt idx="148">
                  <c:v>-40890.951395024313</c:v>
                </c:pt>
                <c:pt idx="149">
                  <c:v>-10616.831130983424</c:v>
                </c:pt>
                <c:pt idx="150">
                  <c:v>22760.745666746167</c:v>
                </c:pt>
                <c:pt idx="151">
                  <c:v>10980.534825027222</c:v>
                </c:pt>
                <c:pt idx="152">
                  <c:v>-15683.210184405791</c:v>
                </c:pt>
                <c:pt idx="153">
                  <c:v>13372.198344959761</c:v>
                </c:pt>
                <c:pt idx="154">
                  <c:v>-39937.166258573881</c:v>
                </c:pt>
                <c:pt idx="155">
                  <c:v>-384.22638123715296</c:v>
                </c:pt>
                <c:pt idx="156">
                  <c:v>-14150.102509110584</c:v>
                </c:pt>
                <c:pt idx="157">
                  <c:v>-27767.950229475158</c:v>
                </c:pt>
                <c:pt idx="158">
                  <c:v>70278.728552476503</c:v>
                </c:pt>
                <c:pt idx="159">
                  <c:v>60131.600393095636</c:v>
                </c:pt>
                <c:pt idx="160">
                  <c:v>-56426.036263536895</c:v>
                </c:pt>
                <c:pt idx="161">
                  <c:v>66877.512257629074</c:v>
                </c:pt>
                <c:pt idx="162">
                  <c:v>-17834.972843340947</c:v>
                </c:pt>
                <c:pt idx="163">
                  <c:v>-17561.167302464019</c:v>
                </c:pt>
                <c:pt idx="164">
                  <c:v>36728.768946809345</c:v>
                </c:pt>
                <c:pt idx="165">
                  <c:v>-30203.475982093718</c:v>
                </c:pt>
                <c:pt idx="166">
                  <c:v>-13448.978296396905</c:v>
                </c:pt>
                <c:pt idx="167">
                  <c:v>2525.6097810168285</c:v>
                </c:pt>
                <c:pt idx="168">
                  <c:v>-25288.935720009264</c:v>
                </c:pt>
                <c:pt idx="169">
                  <c:v>-69310.68791639444</c:v>
                </c:pt>
                <c:pt idx="170">
                  <c:v>40682.273673473625</c:v>
                </c:pt>
                <c:pt idx="171">
                  <c:v>922.53467411349993</c:v>
                </c:pt>
                <c:pt idx="172">
                  <c:v>33681.170755378553</c:v>
                </c:pt>
                <c:pt idx="173">
                  <c:v>-7783.8649610700086</c:v>
                </c:pt>
                <c:pt idx="174">
                  <c:v>-2795.2352716417518</c:v>
                </c:pt>
                <c:pt idx="175">
                  <c:v>8059.6060102516785</c:v>
                </c:pt>
                <c:pt idx="176">
                  <c:v>-1982.4565074355341</c:v>
                </c:pt>
                <c:pt idx="177">
                  <c:v>49632.523313343991</c:v>
                </c:pt>
                <c:pt idx="178">
                  <c:v>7826.9726684617344</c:v>
                </c:pt>
                <c:pt idx="179">
                  <c:v>34001.563883399358</c:v>
                </c:pt>
                <c:pt idx="180">
                  <c:v>4350.1648900639266</c:v>
                </c:pt>
                <c:pt idx="181">
                  <c:v>11308.628579103388</c:v>
                </c:pt>
                <c:pt idx="182">
                  <c:v>6598.4472384188557</c:v>
                </c:pt>
                <c:pt idx="183">
                  <c:v>7271.4418750627665</c:v>
                </c:pt>
                <c:pt idx="184">
                  <c:v>-23486.627724211779</c:v>
                </c:pt>
                <c:pt idx="185">
                  <c:v>17683.092780012754</c:v>
                </c:pt>
                <c:pt idx="186">
                  <c:v>59791.609200068284</c:v>
                </c:pt>
                <c:pt idx="187">
                  <c:v>3507.09281033359</c:v>
                </c:pt>
                <c:pt idx="188">
                  <c:v>37546.818455140456</c:v>
                </c:pt>
                <c:pt idx="189">
                  <c:v>14156.74429058691</c:v>
                </c:pt>
                <c:pt idx="190">
                  <c:v>-5521.701050160802</c:v>
                </c:pt>
                <c:pt idx="191">
                  <c:v>-48068.02695834206</c:v>
                </c:pt>
                <c:pt idx="192">
                  <c:v>-32846.168742094422</c:v>
                </c:pt>
                <c:pt idx="193">
                  <c:v>4933.7345669901697</c:v>
                </c:pt>
                <c:pt idx="194">
                  <c:v>8145.1424212144921</c:v>
                </c:pt>
                <c:pt idx="195">
                  <c:v>-74482.389024564705</c:v>
                </c:pt>
                <c:pt idx="196">
                  <c:v>58391.862800903735</c:v>
                </c:pt>
                <c:pt idx="197">
                  <c:v>-28701.85991488467</c:v>
                </c:pt>
                <c:pt idx="198">
                  <c:v>-16726.406184256542</c:v>
                </c:pt>
                <c:pt idx="199">
                  <c:v>89536.056512310286</c:v>
                </c:pt>
                <c:pt idx="200">
                  <c:v>-31949.59957091033</c:v>
                </c:pt>
                <c:pt idx="201">
                  <c:v>74552.097428550711</c:v>
                </c:pt>
                <c:pt idx="202">
                  <c:v>-70619.376423915499</c:v>
                </c:pt>
                <c:pt idx="203">
                  <c:v>-37447.365648613311</c:v>
                </c:pt>
                <c:pt idx="204">
                  <c:v>-17020.691374868155</c:v>
                </c:pt>
                <c:pt idx="205">
                  <c:v>55472.542886759504</c:v>
                </c:pt>
                <c:pt idx="206">
                  <c:v>-61774.016211703769</c:v>
                </c:pt>
                <c:pt idx="207">
                  <c:v>-79251.394279664033</c:v>
                </c:pt>
                <c:pt idx="208">
                  <c:v>14814.93295536947</c:v>
                </c:pt>
                <c:pt idx="209">
                  <c:v>-65940.620952712488</c:v>
                </c:pt>
                <c:pt idx="210">
                  <c:v>-12783.478901439114</c:v>
                </c:pt>
                <c:pt idx="211">
                  <c:v>-9727.8997977415565</c:v>
                </c:pt>
                <c:pt idx="212">
                  <c:v>36152.103286266443</c:v>
                </c:pt>
                <c:pt idx="213">
                  <c:v>43173.495662944741</c:v>
                </c:pt>
                <c:pt idx="214">
                  <c:v>-14175.746289450326</c:v>
                </c:pt>
                <c:pt idx="215">
                  <c:v>4977.6160121682333</c:v>
                </c:pt>
                <c:pt idx="216">
                  <c:v>21744.13579642179</c:v>
                </c:pt>
                <c:pt idx="217">
                  <c:v>-11361.176274736063</c:v>
                </c:pt>
                <c:pt idx="218">
                  <c:v>40672.399245483102</c:v>
                </c:pt>
                <c:pt idx="219">
                  <c:v>-5473.3414625355508</c:v>
                </c:pt>
                <c:pt idx="220">
                  <c:v>15141.876196693745</c:v>
                </c:pt>
                <c:pt idx="221">
                  <c:v>7138.8004373770673</c:v>
                </c:pt>
                <c:pt idx="222">
                  <c:v>5254.4900530084269</c:v>
                </c:pt>
                <c:pt idx="223">
                  <c:v>-31905.052277921932</c:v>
                </c:pt>
                <c:pt idx="224">
                  <c:v>40571.147932858439</c:v>
                </c:pt>
                <c:pt idx="225">
                  <c:v>12306.40021869872</c:v>
                </c:pt>
                <c:pt idx="226">
                  <c:v>-21476.731081700651</c:v>
                </c:pt>
                <c:pt idx="227">
                  <c:v>22258.791594973474</c:v>
                </c:pt>
                <c:pt idx="228">
                  <c:v>-50818.69585107686</c:v>
                </c:pt>
                <c:pt idx="229">
                  <c:v>57671.717775837751</c:v>
                </c:pt>
                <c:pt idx="230">
                  <c:v>-32197.260877824156</c:v>
                </c:pt>
                <c:pt idx="231">
                  <c:v>26135.095451347879</c:v>
                </c:pt>
                <c:pt idx="232">
                  <c:v>46842.895974721643</c:v>
                </c:pt>
                <c:pt idx="233">
                  <c:v>83826.613294604351</c:v>
                </c:pt>
                <c:pt idx="234">
                  <c:v>8362.8059956963407</c:v>
                </c:pt>
                <c:pt idx="235">
                  <c:v>8085.7998448831495</c:v>
                </c:pt>
                <c:pt idx="236">
                  <c:v>-82033.971156941261</c:v>
                </c:pt>
                <c:pt idx="237">
                  <c:v>-23233.9893119185</c:v>
                </c:pt>
                <c:pt idx="238">
                  <c:v>-13314.499488121481</c:v>
                </c:pt>
                <c:pt idx="239">
                  <c:v>3965.5503800655715</c:v>
                </c:pt>
                <c:pt idx="240">
                  <c:v>25016.265670952736</c:v>
                </c:pt>
                <c:pt idx="241">
                  <c:v>7251.1897042765049</c:v>
                </c:pt>
                <c:pt idx="242">
                  <c:v>-5193.563538994058</c:v>
                </c:pt>
                <c:pt idx="243">
                  <c:v>-10477.961042018491</c:v>
                </c:pt>
                <c:pt idx="244">
                  <c:v>24862.441537567298</c:v>
                </c:pt>
                <c:pt idx="245">
                  <c:v>11580.237017213833</c:v>
                </c:pt>
                <c:pt idx="246">
                  <c:v>-16678.138792572776</c:v>
                </c:pt>
                <c:pt idx="247">
                  <c:v>3948.8317629219964</c:v>
                </c:pt>
                <c:pt idx="248">
                  <c:v>18285.774543538806</c:v>
                </c:pt>
                <c:pt idx="249">
                  <c:v>-8463.9945273931371</c:v>
                </c:pt>
                <c:pt idx="250">
                  <c:v>5350.5959814187372</c:v>
                </c:pt>
                <c:pt idx="251">
                  <c:v>17375.545140076312</c:v>
                </c:pt>
                <c:pt idx="252">
                  <c:v>-19665.83956971881</c:v>
                </c:pt>
                <c:pt idx="253">
                  <c:v>70181.177805456799</c:v>
                </c:pt>
                <c:pt idx="254">
                  <c:v>17019.515658253804</c:v>
                </c:pt>
                <c:pt idx="255">
                  <c:v>-59357.220397502067</c:v>
                </c:pt>
                <c:pt idx="256">
                  <c:v>66620.223475624691</c:v>
                </c:pt>
                <c:pt idx="257">
                  <c:v>2550.0690936011961</c:v>
                </c:pt>
                <c:pt idx="258">
                  <c:v>-14262.861586658517</c:v>
                </c:pt>
                <c:pt idx="259">
                  <c:v>40340.829162560403</c:v>
                </c:pt>
                <c:pt idx="260">
                  <c:v>-424.0676527878968</c:v>
                </c:pt>
                <c:pt idx="261">
                  <c:v>-6525.3598302601604</c:v>
                </c:pt>
                <c:pt idx="262">
                  <c:v>58531.449893885525</c:v>
                </c:pt>
                <c:pt idx="263">
                  <c:v>21193.847606689786</c:v>
                </c:pt>
                <c:pt idx="264">
                  <c:v>-9871.8726875142893</c:v>
                </c:pt>
                <c:pt idx="265">
                  <c:v>38649.283422643784</c:v>
                </c:pt>
                <c:pt idx="266">
                  <c:v>30923.901169023244</c:v>
                </c:pt>
                <c:pt idx="267">
                  <c:v>41432.320506498683</c:v>
                </c:pt>
                <c:pt idx="268">
                  <c:v>-79808.338610787992</c:v>
                </c:pt>
                <c:pt idx="269">
                  <c:v>50476.932587645366</c:v>
                </c:pt>
                <c:pt idx="270">
                  <c:v>-5939.7326649073511</c:v>
                </c:pt>
                <c:pt idx="271">
                  <c:v>-71428.350634973031</c:v>
                </c:pt>
                <c:pt idx="272">
                  <c:v>5221.2574555516476</c:v>
                </c:pt>
                <c:pt idx="273">
                  <c:v>41528.14588468289</c:v>
                </c:pt>
                <c:pt idx="274">
                  <c:v>-8997.2383942551678</c:v>
                </c:pt>
                <c:pt idx="275">
                  <c:v>91668.572257052874</c:v>
                </c:pt>
                <c:pt idx="276">
                  <c:v>-63679.38358230528</c:v>
                </c:pt>
                <c:pt idx="277">
                  <c:v>32899.981247370946</c:v>
                </c:pt>
                <c:pt idx="278">
                  <c:v>9550.190275053028</c:v>
                </c:pt>
                <c:pt idx="279">
                  <c:v>-12997.859893459245</c:v>
                </c:pt>
                <c:pt idx="280">
                  <c:v>-51492.096723981551</c:v>
                </c:pt>
                <c:pt idx="281">
                  <c:v>-36995.910762457526</c:v>
                </c:pt>
                <c:pt idx="282">
                  <c:v>13811.608922852087</c:v>
                </c:pt>
                <c:pt idx="283">
                  <c:v>-8999.4342753458186</c:v>
                </c:pt>
                <c:pt idx="284">
                  <c:v>-12562.979553747107</c:v>
                </c:pt>
                <c:pt idx="285">
                  <c:v>-3323.3819294533459</c:v>
                </c:pt>
                <c:pt idx="286">
                  <c:v>8905.5790149988607</c:v>
                </c:pt>
                <c:pt idx="287">
                  <c:v>-13023.745759743499</c:v>
                </c:pt>
                <c:pt idx="288">
                  <c:v>50188.250314401579</c:v>
                </c:pt>
                <c:pt idx="289">
                  <c:v>-10083.798959154403</c:v>
                </c:pt>
                <c:pt idx="290">
                  <c:v>106192.70634373149</c:v>
                </c:pt>
                <c:pt idx="291">
                  <c:v>-660.51106072228868</c:v>
                </c:pt>
                <c:pt idx="292">
                  <c:v>-49842.176765253185</c:v>
                </c:pt>
                <c:pt idx="293">
                  <c:v>637.0166488212999</c:v>
                </c:pt>
                <c:pt idx="294">
                  <c:v>-9594.7625466982718</c:v>
                </c:pt>
                <c:pt idx="295">
                  <c:v>12161.866473145375</c:v>
                </c:pt>
                <c:pt idx="296">
                  <c:v>-7725.7485264360439</c:v>
                </c:pt>
                <c:pt idx="297">
                  <c:v>80598.237773938221</c:v>
                </c:pt>
                <c:pt idx="298">
                  <c:v>-21437.678101157304</c:v>
                </c:pt>
                <c:pt idx="299">
                  <c:v>-69871.425121836306</c:v>
                </c:pt>
                <c:pt idx="300">
                  <c:v>-24955.196922614006</c:v>
                </c:pt>
                <c:pt idx="301">
                  <c:v>-6421.6194239672041</c:v>
                </c:pt>
                <c:pt idx="302">
                  <c:v>-18634.526272425195</c:v>
                </c:pt>
                <c:pt idx="303">
                  <c:v>51383.354671249981</c:v>
                </c:pt>
                <c:pt idx="304">
                  <c:v>41406.451890726923</c:v>
                </c:pt>
                <c:pt idx="305">
                  <c:v>-93480.754941086867</c:v>
                </c:pt>
                <c:pt idx="306">
                  <c:v>53988.814320102101</c:v>
                </c:pt>
                <c:pt idx="307">
                  <c:v>-49346.588811333291</c:v>
                </c:pt>
                <c:pt idx="308">
                  <c:v>-22282.097101375228</c:v>
                </c:pt>
                <c:pt idx="309">
                  <c:v>-48515.608121502097</c:v>
                </c:pt>
                <c:pt idx="310">
                  <c:v>-20328.170178774977</c:v>
                </c:pt>
                <c:pt idx="311">
                  <c:v>12772.966173886089</c:v>
                </c:pt>
                <c:pt idx="312">
                  <c:v>39492.690647941316</c:v>
                </c:pt>
                <c:pt idx="313">
                  <c:v>-24617.046396170976</c:v>
                </c:pt>
                <c:pt idx="314">
                  <c:v>33445.537383546471</c:v>
                </c:pt>
                <c:pt idx="315">
                  <c:v>33363.594467651565</c:v>
                </c:pt>
                <c:pt idx="316">
                  <c:v>-38789.424119110336</c:v>
                </c:pt>
                <c:pt idx="317">
                  <c:v>24191.533265398582</c:v>
                </c:pt>
                <c:pt idx="318">
                  <c:v>11020.303544730181</c:v>
                </c:pt>
                <c:pt idx="319">
                  <c:v>-21112.599669000367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F8-FA44-9D6A-B2A9B3DE9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3279"/>
        <c:axId val="88991359"/>
      </c:scatterChart>
      <c:valAx>
        <c:axId val="20273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991359"/>
        <c:crosses val="autoZero"/>
        <c:crossBetween val="midCat"/>
      </c:valAx>
      <c:valAx>
        <c:axId val="88991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732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footfall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'MR Output'!$E$2:$E$321</c:f>
              <c:strCache>
                <c:ptCount val="27"/>
                <c:pt idx="2">
                  <c:v>monthly_sales = 79,339.71 + 1.2002(marketing_spend) + 34.0035(footfall) − 457.3614(avg_discount_pct_pct) + 300,179.63(inventory_availability_decimal) + 13,548.49(customer_rating) + 6,184.86(region_North) + 18,676.80(region_South) + 18,109.76(region_West) +</c:v>
                </c:pt>
                <c:pt idx="9">
                  <c:v>F</c:v>
                </c:pt>
                <c:pt idx="10">
                  <c:v>138.6812929</c:v>
                </c:pt>
                <c:pt idx="14">
                  <c:v>P-value</c:v>
                </c:pt>
                <c:pt idx="15">
                  <c:v>0.097691265</c:v>
                </c:pt>
                <c:pt idx="16">
                  <c:v>4.34757E-19</c:v>
                </c:pt>
                <c:pt idx="17">
                  <c:v>7.8815E-105</c:v>
                </c:pt>
                <c:pt idx="18">
                  <c:v>0.210560471</c:v>
                </c:pt>
                <c:pt idx="19">
                  <c:v>2.38833E-10</c:v>
                </c:pt>
                <c:pt idx="20">
                  <c:v>0.004814334</c:v>
                </c:pt>
                <c:pt idx="21">
                  <c:v>0.004055571</c:v>
                </c:pt>
                <c:pt idx="22">
                  <c:v>0.37975261</c:v>
                </c:pt>
                <c:pt idx="23">
                  <c:v>0.009341001</c:v>
                </c:pt>
                <c:pt idx="24">
                  <c:v>0.09090496</c:v>
                </c:pt>
                <c:pt idx="25">
                  <c:v>1.51831E-05</c:v>
                </c:pt>
                <c:pt idx="26">
                  <c:v>0.186923307</c:v>
                </c:pt>
              </c:strCache>
            </c:strRef>
          </c:xVal>
          <c:yVal>
            <c:numRef>
              <c:f>'MR Output'!$C$35:$C$354</c:f>
              <c:numCache>
                <c:formatCode>General</c:formatCode>
                <c:ptCount val="320"/>
                <c:pt idx="0">
                  <c:v>-23396.626781843137</c:v>
                </c:pt>
                <c:pt idx="1">
                  <c:v>-40589.274646520149</c:v>
                </c:pt>
                <c:pt idx="2">
                  <c:v>-54738.979435316287</c:v>
                </c:pt>
                <c:pt idx="3">
                  <c:v>-80673.972340586013</c:v>
                </c:pt>
                <c:pt idx="4">
                  <c:v>-48983.906844820362</c:v>
                </c:pt>
                <c:pt idx="5">
                  <c:v>-21788.994438463938</c:v>
                </c:pt>
                <c:pt idx="6">
                  <c:v>16106.574343493208</c:v>
                </c:pt>
                <c:pt idx="7">
                  <c:v>74722.573556983261</c:v>
                </c:pt>
                <c:pt idx="8">
                  <c:v>65114.694738529157</c:v>
                </c:pt>
                <c:pt idx="9">
                  <c:v>-24713.516222127946</c:v>
                </c:pt>
                <c:pt idx="10">
                  <c:v>-35078.386815394508</c:v>
                </c:pt>
                <c:pt idx="11">
                  <c:v>41587.256043890025</c:v>
                </c:pt>
                <c:pt idx="12">
                  <c:v>54466.515269455151</c:v>
                </c:pt>
                <c:pt idx="13">
                  <c:v>-38824.672632375965</c:v>
                </c:pt>
                <c:pt idx="14">
                  <c:v>7490.529813800822</c:v>
                </c:pt>
                <c:pt idx="15">
                  <c:v>31047.402063647634</c:v>
                </c:pt>
                <c:pt idx="16">
                  <c:v>-14466.638574450044</c:v>
                </c:pt>
                <c:pt idx="17">
                  <c:v>-17967.734839509358</c:v>
                </c:pt>
                <c:pt idx="18">
                  <c:v>-20588.291941397823</c:v>
                </c:pt>
                <c:pt idx="19">
                  <c:v>-4500.2829324092017</c:v>
                </c:pt>
                <c:pt idx="20">
                  <c:v>-84848.752077705634</c:v>
                </c:pt>
                <c:pt idx="21">
                  <c:v>-2247.007168705517</c:v>
                </c:pt>
                <c:pt idx="22">
                  <c:v>33216.096190231852</c:v>
                </c:pt>
                <c:pt idx="23">
                  <c:v>15763.265457478585</c:v>
                </c:pt>
                <c:pt idx="24">
                  <c:v>-28825.022886868916</c:v>
                </c:pt>
                <c:pt idx="25">
                  <c:v>-112680.30349482025</c:v>
                </c:pt>
                <c:pt idx="26">
                  <c:v>-19187.56667163712</c:v>
                </c:pt>
                <c:pt idx="27">
                  <c:v>-1982.2051082962425</c:v>
                </c:pt>
                <c:pt idx="28">
                  <c:v>-54597.565121964726</c:v>
                </c:pt>
                <c:pt idx="29">
                  <c:v>35273.884643438621</c:v>
                </c:pt>
                <c:pt idx="30">
                  <c:v>5064.9537055502879</c:v>
                </c:pt>
                <c:pt idx="31">
                  <c:v>-50092.283397609252</c:v>
                </c:pt>
                <c:pt idx="32">
                  <c:v>-99075.453786892351</c:v>
                </c:pt>
                <c:pt idx="33">
                  <c:v>-47329.614193545538</c:v>
                </c:pt>
                <c:pt idx="34">
                  <c:v>9811.4259448212106</c:v>
                </c:pt>
                <c:pt idx="35">
                  <c:v>-8535.2947134464048</c:v>
                </c:pt>
                <c:pt idx="36">
                  <c:v>42055.875067052781</c:v>
                </c:pt>
                <c:pt idx="37">
                  <c:v>-41249.791617452633</c:v>
                </c:pt>
                <c:pt idx="38">
                  <c:v>-12094.301091901609</c:v>
                </c:pt>
                <c:pt idx="39">
                  <c:v>-3967.3774898507399</c:v>
                </c:pt>
                <c:pt idx="40">
                  <c:v>4417.2622600748437</c:v>
                </c:pt>
                <c:pt idx="41">
                  <c:v>8801.1888409905368</c:v>
                </c:pt>
                <c:pt idx="42">
                  <c:v>69029.08785512601</c:v>
                </c:pt>
                <c:pt idx="43">
                  <c:v>4527.6321805616608</c:v>
                </c:pt>
                <c:pt idx="44">
                  <c:v>-119858.46516582719</c:v>
                </c:pt>
                <c:pt idx="45">
                  <c:v>-29424.765788684483</c:v>
                </c:pt>
                <c:pt idx="46">
                  <c:v>45989.753125274903</c:v>
                </c:pt>
                <c:pt idx="47">
                  <c:v>26186.059941890649</c:v>
                </c:pt>
                <c:pt idx="48">
                  <c:v>-43005.161184015567</c:v>
                </c:pt>
                <c:pt idx="49">
                  <c:v>3594.0575298904441</c:v>
                </c:pt>
                <c:pt idx="50">
                  <c:v>5119.67701850296</c:v>
                </c:pt>
                <c:pt idx="51">
                  <c:v>24134.723394281114</c:v>
                </c:pt>
                <c:pt idx="52">
                  <c:v>-99951.999509744695</c:v>
                </c:pt>
                <c:pt idx="53">
                  <c:v>22211.565001384588</c:v>
                </c:pt>
                <c:pt idx="54">
                  <c:v>31813.553961634985</c:v>
                </c:pt>
                <c:pt idx="55">
                  <c:v>-49662.841596194368</c:v>
                </c:pt>
                <c:pt idx="56">
                  <c:v>-10161.150369689916</c:v>
                </c:pt>
                <c:pt idx="57">
                  <c:v>-25124.737045928836</c:v>
                </c:pt>
                <c:pt idx="58">
                  <c:v>-51497.728718375205</c:v>
                </c:pt>
                <c:pt idx="59">
                  <c:v>-54496.372349109151</c:v>
                </c:pt>
                <c:pt idx="60">
                  <c:v>57951.797879582387</c:v>
                </c:pt>
                <c:pt idx="61">
                  <c:v>42882.596153215971</c:v>
                </c:pt>
                <c:pt idx="62">
                  <c:v>-11962.920377109898</c:v>
                </c:pt>
                <c:pt idx="63">
                  <c:v>41371.094150976976</c:v>
                </c:pt>
                <c:pt idx="64">
                  <c:v>-24625.628438642598</c:v>
                </c:pt>
                <c:pt idx="65">
                  <c:v>-22386.048004407203</c:v>
                </c:pt>
                <c:pt idx="66">
                  <c:v>-159545.34921086964</c:v>
                </c:pt>
                <c:pt idx="67">
                  <c:v>5163.1553148837993</c:v>
                </c:pt>
                <c:pt idx="68">
                  <c:v>81093.947258593515</c:v>
                </c:pt>
                <c:pt idx="69">
                  <c:v>-11348.700272688933</c:v>
                </c:pt>
                <c:pt idx="70">
                  <c:v>23900.138530391036</c:v>
                </c:pt>
                <c:pt idx="71">
                  <c:v>43893.202803671127</c:v>
                </c:pt>
                <c:pt idx="72">
                  <c:v>24286.882529946859</c:v>
                </c:pt>
                <c:pt idx="73">
                  <c:v>-56455.345427068882</c:v>
                </c:pt>
                <c:pt idx="74">
                  <c:v>92630.743504519342</c:v>
                </c:pt>
                <c:pt idx="75">
                  <c:v>-27963.210606254521</c:v>
                </c:pt>
                <c:pt idx="76">
                  <c:v>-10280.063729639282</c:v>
                </c:pt>
                <c:pt idx="77">
                  <c:v>42807.102380570839</c:v>
                </c:pt>
                <c:pt idx="78">
                  <c:v>51721.538853458012</c:v>
                </c:pt>
                <c:pt idx="79">
                  <c:v>-23075.104466554476</c:v>
                </c:pt>
                <c:pt idx="80">
                  <c:v>-39107.691414364264</c:v>
                </c:pt>
                <c:pt idx="81">
                  <c:v>33691.394678910729</c:v>
                </c:pt>
                <c:pt idx="82">
                  <c:v>64637.530529205338</c:v>
                </c:pt>
                <c:pt idx="83">
                  <c:v>368.90728751698043</c:v>
                </c:pt>
                <c:pt idx="84">
                  <c:v>-1410.3824697458185</c:v>
                </c:pt>
                <c:pt idx="85">
                  <c:v>-36538.832739606267</c:v>
                </c:pt>
                <c:pt idx="86">
                  <c:v>-15777.861594122718</c:v>
                </c:pt>
                <c:pt idx="87">
                  <c:v>-16435.163458375144</c:v>
                </c:pt>
                <c:pt idx="88">
                  <c:v>21755.457781846984</c:v>
                </c:pt>
                <c:pt idx="89">
                  <c:v>-145887.49825806229</c:v>
                </c:pt>
                <c:pt idx="90">
                  <c:v>2237.4343256924767</c:v>
                </c:pt>
                <c:pt idx="91">
                  <c:v>14437.798364212271</c:v>
                </c:pt>
                <c:pt idx="92">
                  <c:v>-9434.9598424386932</c:v>
                </c:pt>
                <c:pt idx="93">
                  <c:v>50092.299131099135</c:v>
                </c:pt>
                <c:pt idx="94">
                  <c:v>56673.539790682495</c:v>
                </c:pt>
                <c:pt idx="95">
                  <c:v>-17922.169680106104</c:v>
                </c:pt>
                <c:pt idx="96">
                  <c:v>-22456.368847186794</c:v>
                </c:pt>
                <c:pt idx="97">
                  <c:v>60317.828572276398</c:v>
                </c:pt>
                <c:pt idx="98">
                  <c:v>-22505.275326767354</c:v>
                </c:pt>
                <c:pt idx="99">
                  <c:v>7881.3132524674293</c:v>
                </c:pt>
                <c:pt idx="100">
                  <c:v>41162.478323775344</c:v>
                </c:pt>
                <c:pt idx="101">
                  <c:v>-44286.779506593593</c:v>
                </c:pt>
                <c:pt idx="102">
                  <c:v>27523.796681808657</c:v>
                </c:pt>
                <c:pt idx="103">
                  <c:v>84798.177160112187</c:v>
                </c:pt>
                <c:pt idx="104">
                  <c:v>38910.187828109134</c:v>
                </c:pt>
                <c:pt idx="105">
                  <c:v>-3073.8266053253319</c:v>
                </c:pt>
                <c:pt idx="106">
                  <c:v>76768.141347562429</c:v>
                </c:pt>
                <c:pt idx="107">
                  <c:v>-1939.1162745676702</c:v>
                </c:pt>
                <c:pt idx="108">
                  <c:v>36794.303905852372</c:v>
                </c:pt>
                <c:pt idx="109">
                  <c:v>16947.442180440761</c:v>
                </c:pt>
                <c:pt idx="110">
                  <c:v>-23166.90868565999</c:v>
                </c:pt>
                <c:pt idx="111">
                  <c:v>112722.72216396674</c:v>
                </c:pt>
                <c:pt idx="112">
                  <c:v>38935.058477346203</c:v>
                </c:pt>
                <c:pt idx="113">
                  <c:v>33051.941057308461</c:v>
                </c:pt>
                <c:pt idx="114">
                  <c:v>-50182.487019258668</c:v>
                </c:pt>
                <c:pt idx="115">
                  <c:v>-41075.971891315421</c:v>
                </c:pt>
                <c:pt idx="116">
                  <c:v>47.99631519196555</c:v>
                </c:pt>
                <c:pt idx="117">
                  <c:v>87296.097406457993</c:v>
                </c:pt>
                <c:pt idx="118">
                  <c:v>-71310.480207910878</c:v>
                </c:pt>
                <c:pt idx="119">
                  <c:v>-4975.8186270925216</c:v>
                </c:pt>
                <c:pt idx="120">
                  <c:v>-53482.204880068835</c:v>
                </c:pt>
                <c:pt idx="121">
                  <c:v>36026.783350614714</c:v>
                </c:pt>
                <c:pt idx="122">
                  <c:v>-32454.983670084155</c:v>
                </c:pt>
                <c:pt idx="123">
                  <c:v>-64254.582701205742</c:v>
                </c:pt>
                <c:pt idx="124">
                  <c:v>76285.972583058174</c:v>
                </c:pt>
                <c:pt idx="125">
                  <c:v>-21552.785960535868</c:v>
                </c:pt>
                <c:pt idx="126">
                  <c:v>39927.543372862041</c:v>
                </c:pt>
                <c:pt idx="127">
                  <c:v>-20106.380810166826</c:v>
                </c:pt>
                <c:pt idx="128">
                  <c:v>21931.25204198854</c:v>
                </c:pt>
                <c:pt idx="129">
                  <c:v>2609.2773674819618</c:v>
                </c:pt>
                <c:pt idx="130">
                  <c:v>-67035.235336851794</c:v>
                </c:pt>
                <c:pt idx="131">
                  <c:v>-17167.500484380987</c:v>
                </c:pt>
                <c:pt idx="132">
                  <c:v>-54908.016204070649</c:v>
                </c:pt>
                <c:pt idx="133">
                  <c:v>-49454.116014564352</c:v>
                </c:pt>
                <c:pt idx="134">
                  <c:v>-9712.9947791201994</c:v>
                </c:pt>
                <c:pt idx="135">
                  <c:v>-20223.005314715789</c:v>
                </c:pt>
                <c:pt idx="136">
                  <c:v>-74463.764339236193</c:v>
                </c:pt>
                <c:pt idx="137">
                  <c:v>36369.103639803943</c:v>
                </c:pt>
                <c:pt idx="138">
                  <c:v>75120.106078310753</c:v>
                </c:pt>
                <c:pt idx="139">
                  <c:v>28361.153977255453</c:v>
                </c:pt>
                <c:pt idx="140">
                  <c:v>37765.580174423987</c:v>
                </c:pt>
                <c:pt idx="141">
                  <c:v>7894.2769953686511</c:v>
                </c:pt>
                <c:pt idx="142">
                  <c:v>37405.885216745897</c:v>
                </c:pt>
                <c:pt idx="143">
                  <c:v>14670.848274462973</c:v>
                </c:pt>
                <c:pt idx="144">
                  <c:v>-16303.097614999395</c:v>
                </c:pt>
                <c:pt idx="145">
                  <c:v>-13593.497124249232</c:v>
                </c:pt>
                <c:pt idx="146">
                  <c:v>16090.198541079648</c:v>
                </c:pt>
                <c:pt idx="147">
                  <c:v>18741.353853696026</c:v>
                </c:pt>
                <c:pt idx="148">
                  <c:v>-40890.951395024313</c:v>
                </c:pt>
                <c:pt idx="149">
                  <c:v>-10616.831130983424</c:v>
                </c:pt>
                <c:pt idx="150">
                  <c:v>22760.745666746167</c:v>
                </c:pt>
                <c:pt idx="151">
                  <c:v>10980.534825027222</c:v>
                </c:pt>
                <c:pt idx="152">
                  <c:v>-15683.210184405791</c:v>
                </c:pt>
                <c:pt idx="153">
                  <c:v>13372.198344959761</c:v>
                </c:pt>
                <c:pt idx="154">
                  <c:v>-39937.166258573881</c:v>
                </c:pt>
                <c:pt idx="155">
                  <c:v>-384.22638123715296</c:v>
                </c:pt>
                <c:pt idx="156">
                  <c:v>-14150.102509110584</c:v>
                </c:pt>
                <c:pt idx="157">
                  <c:v>-27767.950229475158</c:v>
                </c:pt>
                <c:pt idx="158">
                  <c:v>70278.728552476503</c:v>
                </c:pt>
                <c:pt idx="159">
                  <c:v>60131.600393095636</c:v>
                </c:pt>
                <c:pt idx="160">
                  <c:v>-56426.036263536895</c:v>
                </c:pt>
                <c:pt idx="161">
                  <c:v>66877.512257629074</c:v>
                </c:pt>
                <c:pt idx="162">
                  <c:v>-17834.972843340947</c:v>
                </c:pt>
                <c:pt idx="163">
                  <c:v>-17561.167302464019</c:v>
                </c:pt>
                <c:pt idx="164">
                  <c:v>36728.768946809345</c:v>
                </c:pt>
                <c:pt idx="165">
                  <c:v>-30203.475982093718</c:v>
                </c:pt>
                <c:pt idx="166">
                  <c:v>-13448.978296396905</c:v>
                </c:pt>
                <c:pt idx="167">
                  <c:v>2525.6097810168285</c:v>
                </c:pt>
                <c:pt idx="168">
                  <c:v>-25288.935720009264</c:v>
                </c:pt>
                <c:pt idx="169">
                  <c:v>-69310.68791639444</c:v>
                </c:pt>
                <c:pt idx="170">
                  <c:v>40682.273673473625</c:v>
                </c:pt>
                <c:pt idx="171">
                  <c:v>922.53467411349993</c:v>
                </c:pt>
                <c:pt idx="172">
                  <c:v>33681.170755378553</c:v>
                </c:pt>
                <c:pt idx="173">
                  <c:v>-7783.8649610700086</c:v>
                </c:pt>
                <c:pt idx="174">
                  <c:v>-2795.2352716417518</c:v>
                </c:pt>
                <c:pt idx="175">
                  <c:v>8059.6060102516785</c:v>
                </c:pt>
                <c:pt idx="176">
                  <c:v>-1982.4565074355341</c:v>
                </c:pt>
                <c:pt idx="177">
                  <c:v>49632.523313343991</c:v>
                </c:pt>
                <c:pt idx="178">
                  <c:v>7826.9726684617344</c:v>
                </c:pt>
                <c:pt idx="179">
                  <c:v>34001.563883399358</c:v>
                </c:pt>
                <c:pt idx="180">
                  <c:v>4350.1648900639266</c:v>
                </c:pt>
                <c:pt idx="181">
                  <c:v>11308.628579103388</c:v>
                </c:pt>
                <c:pt idx="182">
                  <c:v>6598.4472384188557</c:v>
                </c:pt>
                <c:pt idx="183">
                  <c:v>7271.4418750627665</c:v>
                </c:pt>
                <c:pt idx="184">
                  <c:v>-23486.627724211779</c:v>
                </c:pt>
                <c:pt idx="185">
                  <c:v>17683.092780012754</c:v>
                </c:pt>
                <c:pt idx="186">
                  <c:v>59791.609200068284</c:v>
                </c:pt>
                <c:pt idx="187">
                  <c:v>3507.09281033359</c:v>
                </c:pt>
                <c:pt idx="188">
                  <c:v>37546.818455140456</c:v>
                </c:pt>
                <c:pt idx="189">
                  <c:v>14156.74429058691</c:v>
                </c:pt>
                <c:pt idx="190">
                  <c:v>-5521.701050160802</c:v>
                </c:pt>
                <c:pt idx="191">
                  <c:v>-48068.02695834206</c:v>
                </c:pt>
                <c:pt idx="192">
                  <c:v>-32846.168742094422</c:v>
                </c:pt>
                <c:pt idx="193">
                  <c:v>4933.7345669901697</c:v>
                </c:pt>
                <c:pt idx="194">
                  <c:v>8145.1424212144921</c:v>
                </c:pt>
                <c:pt idx="195">
                  <c:v>-74482.389024564705</c:v>
                </c:pt>
                <c:pt idx="196">
                  <c:v>58391.862800903735</c:v>
                </c:pt>
                <c:pt idx="197">
                  <c:v>-28701.85991488467</c:v>
                </c:pt>
                <c:pt idx="198">
                  <c:v>-16726.406184256542</c:v>
                </c:pt>
                <c:pt idx="199">
                  <c:v>89536.056512310286</c:v>
                </c:pt>
                <c:pt idx="200">
                  <c:v>-31949.59957091033</c:v>
                </c:pt>
                <c:pt idx="201">
                  <c:v>74552.097428550711</c:v>
                </c:pt>
                <c:pt idx="202">
                  <c:v>-70619.376423915499</c:v>
                </c:pt>
                <c:pt idx="203">
                  <c:v>-37447.365648613311</c:v>
                </c:pt>
                <c:pt idx="204">
                  <c:v>-17020.691374868155</c:v>
                </c:pt>
                <c:pt idx="205">
                  <c:v>55472.542886759504</c:v>
                </c:pt>
                <c:pt idx="206">
                  <c:v>-61774.016211703769</c:v>
                </c:pt>
                <c:pt idx="207">
                  <c:v>-79251.394279664033</c:v>
                </c:pt>
                <c:pt idx="208">
                  <c:v>14814.93295536947</c:v>
                </c:pt>
                <c:pt idx="209">
                  <c:v>-65940.620952712488</c:v>
                </c:pt>
                <c:pt idx="210">
                  <c:v>-12783.478901439114</c:v>
                </c:pt>
                <c:pt idx="211">
                  <c:v>-9727.8997977415565</c:v>
                </c:pt>
                <c:pt idx="212">
                  <c:v>36152.103286266443</c:v>
                </c:pt>
                <c:pt idx="213">
                  <c:v>43173.495662944741</c:v>
                </c:pt>
                <c:pt idx="214">
                  <c:v>-14175.746289450326</c:v>
                </c:pt>
                <c:pt idx="215">
                  <c:v>4977.6160121682333</c:v>
                </c:pt>
                <c:pt idx="216">
                  <c:v>21744.13579642179</c:v>
                </c:pt>
                <c:pt idx="217">
                  <c:v>-11361.176274736063</c:v>
                </c:pt>
                <c:pt idx="218">
                  <c:v>40672.399245483102</c:v>
                </c:pt>
                <c:pt idx="219">
                  <c:v>-5473.3414625355508</c:v>
                </c:pt>
                <c:pt idx="220">
                  <c:v>15141.876196693745</c:v>
                </c:pt>
                <c:pt idx="221">
                  <c:v>7138.8004373770673</c:v>
                </c:pt>
                <c:pt idx="222">
                  <c:v>5254.4900530084269</c:v>
                </c:pt>
                <c:pt idx="223">
                  <c:v>-31905.052277921932</c:v>
                </c:pt>
                <c:pt idx="224">
                  <c:v>40571.147932858439</c:v>
                </c:pt>
                <c:pt idx="225">
                  <c:v>12306.40021869872</c:v>
                </c:pt>
                <c:pt idx="226">
                  <c:v>-21476.731081700651</c:v>
                </c:pt>
                <c:pt idx="227">
                  <c:v>22258.791594973474</c:v>
                </c:pt>
                <c:pt idx="228">
                  <c:v>-50818.69585107686</c:v>
                </c:pt>
                <c:pt idx="229">
                  <c:v>57671.717775837751</c:v>
                </c:pt>
                <c:pt idx="230">
                  <c:v>-32197.260877824156</c:v>
                </c:pt>
                <c:pt idx="231">
                  <c:v>26135.095451347879</c:v>
                </c:pt>
                <c:pt idx="232">
                  <c:v>46842.895974721643</c:v>
                </c:pt>
                <c:pt idx="233">
                  <c:v>83826.613294604351</c:v>
                </c:pt>
                <c:pt idx="234">
                  <c:v>8362.8059956963407</c:v>
                </c:pt>
                <c:pt idx="235">
                  <c:v>8085.7998448831495</c:v>
                </c:pt>
                <c:pt idx="236">
                  <c:v>-82033.971156941261</c:v>
                </c:pt>
                <c:pt idx="237">
                  <c:v>-23233.9893119185</c:v>
                </c:pt>
                <c:pt idx="238">
                  <c:v>-13314.499488121481</c:v>
                </c:pt>
                <c:pt idx="239">
                  <c:v>3965.5503800655715</c:v>
                </c:pt>
                <c:pt idx="240">
                  <c:v>25016.265670952736</c:v>
                </c:pt>
                <c:pt idx="241">
                  <c:v>7251.1897042765049</c:v>
                </c:pt>
                <c:pt idx="242">
                  <c:v>-5193.563538994058</c:v>
                </c:pt>
                <c:pt idx="243">
                  <c:v>-10477.961042018491</c:v>
                </c:pt>
                <c:pt idx="244">
                  <c:v>24862.441537567298</c:v>
                </c:pt>
                <c:pt idx="245">
                  <c:v>11580.237017213833</c:v>
                </c:pt>
                <c:pt idx="246">
                  <c:v>-16678.138792572776</c:v>
                </c:pt>
                <c:pt idx="247">
                  <c:v>3948.8317629219964</c:v>
                </c:pt>
                <c:pt idx="248">
                  <c:v>18285.774543538806</c:v>
                </c:pt>
                <c:pt idx="249">
                  <c:v>-8463.9945273931371</c:v>
                </c:pt>
                <c:pt idx="250">
                  <c:v>5350.5959814187372</c:v>
                </c:pt>
                <c:pt idx="251">
                  <c:v>17375.545140076312</c:v>
                </c:pt>
                <c:pt idx="252">
                  <c:v>-19665.83956971881</c:v>
                </c:pt>
                <c:pt idx="253">
                  <c:v>70181.177805456799</c:v>
                </c:pt>
                <c:pt idx="254">
                  <c:v>17019.515658253804</c:v>
                </c:pt>
                <c:pt idx="255">
                  <c:v>-59357.220397502067</c:v>
                </c:pt>
                <c:pt idx="256">
                  <c:v>66620.223475624691</c:v>
                </c:pt>
                <c:pt idx="257">
                  <c:v>2550.0690936011961</c:v>
                </c:pt>
                <c:pt idx="258">
                  <c:v>-14262.861586658517</c:v>
                </c:pt>
                <c:pt idx="259">
                  <c:v>40340.829162560403</c:v>
                </c:pt>
                <c:pt idx="260">
                  <c:v>-424.0676527878968</c:v>
                </c:pt>
                <c:pt idx="261">
                  <c:v>-6525.3598302601604</c:v>
                </c:pt>
                <c:pt idx="262">
                  <c:v>58531.449893885525</c:v>
                </c:pt>
                <c:pt idx="263">
                  <c:v>21193.847606689786</c:v>
                </c:pt>
                <c:pt idx="264">
                  <c:v>-9871.8726875142893</c:v>
                </c:pt>
                <c:pt idx="265">
                  <c:v>38649.283422643784</c:v>
                </c:pt>
                <c:pt idx="266">
                  <c:v>30923.901169023244</c:v>
                </c:pt>
                <c:pt idx="267">
                  <c:v>41432.320506498683</c:v>
                </c:pt>
                <c:pt idx="268">
                  <c:v>-79808.338610787992</c:v>
                </c:pt>
                <c:pt idx="269">
                  <c:v>50476.932587645366</c:v>
                </c:pt>
                <c:pt idx="270">
                  <c:v>-5939.7326649073511</c:v>
                </c:pt>
                <c:pt idx="271">
                  <c:v>-71428.350634973031</c:v>
                </c:pt>
                <c:pt idx="272">
                  <c:v>5221.2574555516476</c:v>
                </c:pt>
                <c:pt idx="273">
                  <c:v>41528.14588468289</c:v>
                </c:pt>
                <c:pt idx="274">
                  <c:v>-8997.2383942551678</c:v>
                </c:pt>
                <c:pt idx="275">
                  <c:v>91668.572257052874</c:v>
                </c:pt>
                <c:pt idx="276">
                  <c:v>-63679.38358230528</c:v>
                </c:pt>
                <c:pt idx="277">
                  <c:v>32899.981247370946</c:v>
                </c:pt>
                <c:pt idx="278">
                  <c:v>9550.190275053028</c:v>
                </c:pt>
                <c:pt idx="279">
                  <c:v>-12997.859893459245</c:v>
                </c:pt>
                <c:pt idx="280">
                  <c:v>-51492.096723981551</c:v>
                </c:pt>
                <c:pt idx="281">
                  <c:v>-36995.910762457526</c:v>
                </c:pt>
                <c:pt idx="282">
                  <c:v>13811.608922852087</c:v>
                </c:pt>
                <c:pt idx="283">
                  <c:v>-8999.4342753458186</c:v>
                </c:pt>
                <c:pt idx="284">
                  <c:v>-12562.979553747107</c:v>
                </c:pt>
                <c:pt idx="285">
                  <c:v>-3323.3819294533459</c:v>
                </c:pt>
                <c:pt idx="286">
                  <c:v>8905.5790149988607</c:v>
                </c:pt>
                <c:pt idx="287">
                  <c:v>-13023.745759743499</c:v>
                </c:pt>
                <c:pt idx="288">
                  <c:v>50188.250314401579</c:v>
                </c:pt>
                <c:pt idx="289">
                  <c:v>-10083.798959154403</c:v>
                </c:pt>
                <c:pt idx="290">
                  <c:v>106192.70634373149</c:v>
                </c:pt>
                <c:pt idx="291">
                  <c:v>-660.51106072228868</c:v>
                </c:pt>
                <c:pt idx="292">
                  <c:v>-49842.176765253185</c:v>
                </c:pt>
                <c:pt idx="293">
                  <c:v>637.0166488212999</c:v>
                </c:pt>
                <c:pt idx="294">
                  <c:v>-9594.7625466982718</c:v>
                </c:pt>
                <c:pt idx="295">
                  <c:v>12161.866473145375</c:v>
                </c:pt>
                <c:pt idx="296">
                  <c:v>-7725.7485264360439</c:v>
                </c:pt>
                <c:pt idx="297">
                  <c:v>80598.237773938221</c:v>
                </c:pt>
                <c:pt idx="298">
                  <c:v>-21437.678101157304</c:v>
                </c:pt>
                <c:pt idx="299">
                  <c:v>-69871.425121836306</c:v>
                </c:pt>
                <c:pt idx="300">
                  <c:v>-24955.196922614006</c:v>
                </c:pt>
                <c:pt idx="301">
                  <c:v>-6421.6194239672041</c:v>
                </c:pt>
                <c:pt idx="302">
                  <c:v>-18634.526272425195</c:v>
                </c:pt>
                <c:pt idx="303">
                  <c:v>51383.354671249981</c:v>
                </c:pt>
                <c:pt idx="304">
                  <c:v>41406.451890726923</c:v>
                </c:pt>
                <c:pt idx="305">
                  <c:v>-93480.754941086867</c:v>
                </c:pt>
                <c:pt idx="306">
                  <c:v>53988.814320102101</c:v>
                </c:pt>
                <c:pt idx="307">
                  <c:v>-49346.588811333291</c:v>
                </c:pt>
                <c:pt idx="308">
                  <c:v>-22282.097101375228</c:v>
                </c:pt>
                <c:pt idx="309">
                  <c:v>-48515.608121502097</c:v>
                </c:pt>
                <c:pt idx="310">
                  <c:v>-20328.170178774977</c:v>
                </c:pt>
                <c:pt idx="311">
                  <c:v>12772.966173886089</c:v>
                </c:pt>
                <c:pt idx="312">
                  <c:v>39492.690647941316</c:v>
                </c:pt>
                <c:pt idx="313">
                  <c:v>-24617.046396170976</c:v>
                </c:pt>
                <c:pt idx="314">
                  <c:v>33445.537383546471</c:v>
                </c:pt>
                <c:pt idx="315">
                  <c:v>33363.594467651565</c:v>
                </c:pt>
                <c:pt idx="316">
                  <c:v>-38789.424119110336</c:v>
                </c:pt>
                <c:pt idx="317">
                  <c:v>24191.533265398582</c:v>
                </c:pt>
                <c:pt idx="318">
                  <c:v>11020.303544730181</c:v>
                </c:pt>
                <c:pt idx="319">
                  <c:v>-21112.599669000367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0-0C4C-847E-474F6C690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29023"/>
        <c:axId val="92137087"/>
      </c:scatterChart>
      <c:valAx>
        <c:axId val="92129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footfall</a:t>
                </a:r>
              </a:p>
            </c:rich>
          </c:tx>
          <c:overlay val="0"/>
        </c:title>
        <c:majorTickMark val="out"/>
        <c:minorTickMark val="none"/>
        <c:tickLblPos val="nextTo"/>
        <c:crossAx val="92137087"/>
        <c:crosses val="autoZero"/>
        <c:crossBetween val="midCat"/>
      </c:valAx>
      <c:valAx>
        <c:axId val="921370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1290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avg_discount_pct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'MR Output'!$F$2:$F$321</c:f>
              <c:strCache>
                <c:ptCount val="27"/>
                <c:pt idx="9">
                  <c:v>Significance F</c:v>
                </c:pt>
                <c:pt idx="10">
                  <c:v>3.1219E-112</c:v>
                </c:pt>
                <c:pt idx="14">
                  <c:v>Lower 95%</c:v>
                </c:pt>
                <c:pt idx="15">
                  <c:v>-14626.49784</c:v>
                </c:pt>
                <c:pt idx="16">
                  <c:v>0.952870439</c:v>
                </c:pt>
                <c:pt idx="17">
                  <c:v>32.00837279</c:v>
                </c:pt>
                <c:pt idx="18">
                  <c:v>-117452.4011</c:v>
                </c:pt>
                <c:pt idx="19">
                  <c:v>210027.1073</c:v>
                </c:pt>
                <c:pt idx="20">
                  <c:v>4165.432144</c:v>
                </c:pt>
                <c:pt idx="21">
                  <c:v>5803.202514</c:v>
                </c:pt>
                <c:pt idx="22">
                  <c:v>-7650.49603</c:v>
                </c:pt>
                <c:pt idx="23">
                  <c:v>4627.738234</c:v>
                </c:pt>
                <c:pt idx="24">
                  <c:v>-23767.70558</c:v>
                </c:pt>
                <c:pt idx="25">
                  <c:v>-42112.82882</c:v>
                </c:pt>
                <c:pt idx="26">
                  <c:v>-6235.212935</c:v>
                </c:pt>
              </c:strCache>
            </c:strRef>
          </c:xVal>
          <c:yVal>
            <c:numRef>
              <c:f>'MR Output'!$C$35:$C$354</c:f>
              <c:numCache>
                <c:formatCode>General</c:formatCode>
                <c:ptCount val="320"/>
                <c:pt idx="0">
                  <c:v>-23396.626781843137</c:v>
                </c:pt>
                <c:pt idx="1">
                  <c:v>-40589.274646520149</c:v>
                </c:pt>
                <c:pt idx="2">
                  <c:v>-54738.979435316287</c:v>
                </c:pt>
                <c:pt idx="3">
                  <c:v>-80673.972340586013</c:v>
                </c:pt>
                <c:pt idx="4">
                  <c:v>-48983.906844820362</c:v>
                </c:pt>
                <c:pt idx="5">
                  <c:v>-21788.994438463938</c:v>
                </c:pt>
                <c:pt idx="6">
                  <c:v>16106.574343493208</c:v>
                </c:pt>
                <c:pt idx="7">
                  <c:v>74722.573556983261</c:v>
                </c:pt>
                <c:pt idx="8">
                  <c:v>65114.694738529157</c:v>
                </c:pt>
                <c:pt idx="9">
                  <c:v>-24713.516222127946</c:v>
                </c:pt>
                <c:pt idx="10">
                  <c:v>-35078.386815394508</c:v>
                </c:pt>
                <c:pt idx="11">
                  <c:v>41587.256043890025</c:v>
                </c:pt>
                <c:pt idx="12">
                  <c:v>54466.515269455151</c:v>
                </c:pt>
                <c:pt idx="13">
                  <c:v>-38824.672632375965</c:v>
                </c:pt>
                <c:pt idx="14">
                  <c:v>7490.529813800822</c:v>
                </c:pt>
                <c:pt idx="15">
                  <c:v>31047.402063647634</c:v>
                </c:pt>
                <c:pt idx="16">
                  <c:v>-14466.638574450044</c:v>
                </c:pt>
                <c:pt idx="17">
                  <c:v>-17967.734839509358</c:v>
                </c:pt>
                <c:pt idx="18">
                  <c:v>-20588.291941397823</c:v>
                </c:pt>
                <c:pt idx="19">
                  <c:v>-4500.2829324092017</c:v>
                </c:pt>
                <c:pt idx="20">
                  <c:v>-84848.752077705634</c:v>
                </c:pt>
                <c:pt idx="21">
                  <c:v>-2247.007168705517</c:v>
                </c:pt>
                <c:pt idx="22">
                  <c:v>33216.096190231852</c:v>
                </c:pt>
                <c:pt idx="23">
                  <c:v>15763.265457478585</c:v>
                </c:pt>
                <c:pt idx="24">
                  <c:v>-28825.022886868916</c:v>
                </c:pt>
                <c:pt idx="25">
                  <c:v>-112680.30349482025</c:v>
                </c:pt>
                <c:pt idx="26">
                  <c:v>-19187.56667163712</c:v>
                </c:pt>
                <c:pt idx="27">
                  <c:v>-1982.2051082962425</c:v>
                </c:pt>
                <c:pt idx="28">
                  <c:v>-54597.565121964726</c:v>
                </c:pt>
                <c:pt idx="29">
                  <c:v>35273.884643438621</c:v>
                </c:pt>
                <c:pt idx="30">
                  <c:v>5064.9537055502879</c:v>
                </c:pt>
                <c:pt idx="31">
                  <c:v>-50092.283397609252</c:v>
                </c:pt>
                <c:pt idx="32">
                  <c:v>-99075.453786892351</c:v>
                </c:pt>
                <c:pt idx="33">
                  <c:v>-47329.614193545538</c:v>
                </c:pt>
                <c:pt idx="34">
                  <c:v>9811.4259448212106</c:v>
                </c:pt>
                <c:pt idx="35">
                  <c:v>-8535.2947134464048</c:v>
                </c:pt>
                <c:pt idx="36">
                  <c:v>42055.875067052781</c:v>
                </c:pt>
                <c:pt idx="37">
                  <c:v>-41249.791617452633</c:v>
                </c:pt>
                <c:pt idx="38">
                  <c:v>-12094.301091901609</c:v>
                </c:pt>
                <c:pt idx="39">
                  <c:v>-3967.3774898507399</c:v>
                </c:pt>
                <c:pt idx="40">
                  <c:v>4417.2622600748437</c:v>
                </c:pt>
                <c:pt idx="41">
                  <c:v>8801.1888409905368</c:v>
                </c:pt>
                <c:pt idx="42">
                  <c:v>69029.08785512601</c:v>
                </c:pt>
                <c:pt idx="43">
                  <c:v>4527.6321805616608</c:v>
                </c:pt>
                <c:pt idx="44">
                  <c:v>-119858.46516582719</c:v>
                </c:pt>
                <c:pt idx="45">
                  <c:v>-29424.765788684483</c:v>
                </c:pt>
                <c:pt idx="46">
                  <c:v>45989.753125274903</c:v>
                </c:pt>
                <c:pt idx="47">
                  <c:v>26186.059941890649</c:v>
                </c:pt>
                <c:pt idx="48">
                  <c:v>-43005.161184015567</c:v>
                </c:pt>
                <c:pt idx="49">
                  <c:v>3594.0575298904441</c:v>
                </c:pt>
                <c:pt idx="50">
                  <c:v>5119.67701850296</c:v>
                </c:pt>
                <c:pt idx="51">
                  <c:v>24134.723394281114</c:v>
                </c:pt>
                <c:pt idx="52">
                  <c:v>-99951.999509744695</c:v>
                </c:pt>
                <c:pt idx="53">
                  <c:v>22211.565001384588</c:v>
                </c:pt>
                <c:pt idx="54">
                  <c:v>31813.553961634985</c:v>
                </c:pt>
                <c:pt idx="55">
                  <c:v>-49662.841596194368</c:v>
                </c:pt>
                <c:pt idx="56">
                  <c:v>-10161.150369689916</c:v>
                </c:pt>
                <c:pt idx="57">
                  <c:v>-25124.737045928836</c:v>
                </c:pt>
                <c:pt idx="58">
                  <c:v>-51497.728718375205</c:v>
                </c:pt>
                <c:pt idx="59">
                  <c:v>-54496.372349109151</c:v>
                </c:pt>
                <c:pt idx="60">
                  <c:v>57951.797879582387</c:v>
                </c:pt>
                <c:pt idx="61">
                  <c:v>42882.596153215971</c:v>
                </c:pt>
                <c:pt idx="62">
                  <c:v>-11962.920377109898</c:v>
                </c:pt>
                <c:pt idx="63">
                  <c:v>41371.094150976976</c:v>
                </c:pt>
                <c:pt idx="64">
                  <c:v>-24625.628438642598</c:v>
                </c:pt>
                <c:pt idx="65">
                  <c:v>-22386.048004407203</c:v>
                </c:pt>
                <c:pt idx="66">
                  <c:v>-159545.34921086964</c:v>
                </c:pt>
                <c:pt idx="67">
                  <c:v>5163.1553148837993</c:v>
                </c:pt>
                <c:pt idx="68">
                  <c:v>81093.947258593515</c:v>
                </c:pt>
                <c:pt idx="69">
                  <c:v>-11348.700272688933</c:v>
                </c:pt>
                <c:pt idx="70">
                  <c:v>23900.138530391036</c:v>
                </c:pt>
                <c:pt idx="71">
                  <c:v>43893.202803671127</c:v>
                </c:pt>
                <c:pt idx="72">
                  <c:v>24286.882529946859</c:v>
                </c:pt>
                <c:pt idx="73">
                  <c:v>-56455.345427068882</c:v>
                </c:pt>
                <c:pt idx="74">
                  <c:v>92630.743504519342</c:v>
                </c:pt>
                <c:pt idx="75">
                  <c:v>-27963.210606254521</c:v>
                </c:pt>
                <c:pt idx="76">
                  <c:v>-10280.063729639282</c:v>
                </c:pt>
                <c:pt idx="77">
                  <c:v>42807.102380570839</c:v>
                </c:pt>
                <c:pt idx="78">
                  <c:v>51721.538853458012</c:v>
                </c:pt>
                <c:pt idx="79">
                  <c:v>-23075.104466554476</c:v>
                </c:pt>
                <c:pt idx="80">
                  <c:v>-39107.691414364264</c:v>
                </c:pt>
                <c:pt idx="81">
                  <c:v>33691.394678910729</c:v>
                </c:pt>
                <c:pt idx="82">
                  <c:v>64637.530529205338</c:v>
                </c:pt>
                <c:pt idx="83">
                  <c:v>368.90728751698043</c:v>
                </c:pt>
                <c:pt idx="84">
                  <c:v>-1410.3824697458185</c:v>
                </c:pt>
                <c:pt idx="85">
                  <c:v>-36538.832739606267</c:v>
                </c:pt>
                <c:pt idx="86">
                  <c:v>-15777.861594122718</c:v>
                </c:pt>
                <c:pt idx="87">
                  <c:v>-16435.163458375144</c:v>
                </c:pt>
                <c:pt idx="88">
                  <c:v>21755.457781846984</c:v>
                </c:pt>
                <c:pt idx="89">
                  <c:v>-145887.49825806229</c:v>
                </c:pt>
                <c:pt idx="90">
                  <c:v>2237.4343256924767</c:v>
                </c:pt>
                <c:pt idx="91">
                  <c:v>14437.798364212271</c:v>
                </c:pt>
                <c:pt idx="92">
                  <c:v>-9434.9598424386932</c:v>
                </c:pt>
                <c:pt idx="93">
                  <c:v>50092.299131099135</c:v>
                </c:pt>
                <c:pt idx="94">
                  <c:v>56673.539790682495</c:v>
                </c:pt>
                <c:pt idx="95">
                  <c:v>-17922.169680106104</c:v>
                </c:pt>
                <c:pt idx="96">
                  <c:v>-22456.368847186794</c:v>
                </c:pt>
                <c:pt idx="97">
                  <c:v>60317.828572276398</c:v>
                </c:pt>
                <c:pt idx="98">
                  <c:v>-22505.275326767354</c:v>
                </c:pt>
                <c:pt idx="99">
                  <c:v>7881.3132524674293</c:v>
                </c:pt>
                <c:pt idx="100">
                  <c:v>41162.478323775344</c:v>
                </c:pt>
                <c:pt idx="101">
                  <c:v>-44286.779506593593</c:v>
                </c:pt>
                <c:pt idx="102">
                  <c:v>27523.796681808657</c:v>
                </c:pt>
                <c:pt idx="103">
                  <c:v>84798.177160112187</c:v>
                </c:pt>
                <c:pt idx="104">
                  <c:v>38910.187828109134</c:v>
                </c:pt>
                <c:pt idx="105">
                  <c:v>-3073.8266053253319</c:v>
                </c:pt>
                <c:pt idx="106">
                  <c:v>76768.141347562429</c:v>
                </c:pt>
                <c:pt idx="107">
                  <c:v>-1939.1162745676702</c:v>
                </c:pt>
                <c:pt idx="108">
                  <c:v>36794.303905852372</c:v>
                </c:pt>
                <c:pt idx="109">
                  <c:v>16947.442180440761</c:v>
                </c:pt>
                <c:pt idx="110">
                  <c:v>-23166.90868565999</c:v>
                </c:pt>
                <c:pt idx="111">
                  <c:v>112722.72216396674</c:v>
                </c:pt>
                <c:pt idx="112">
                  <c:v>38935.058477346203</c:v>
                </c:pt>
                <c:pt idx="113">
                  <c:v>33051.941057308461</c:v>
                </c:pt>
                <c:pt idx="114">
                  <c:v>-50182.487019258668</c:v>
                </c:pt>
                <c:pt idx="115">
                  <c:v>-41075.971891315421</c:v>
                </c:pt>
                <c:pt idx="116">
                  <c:v>47.99631519196555</c:v>
                </c:pt>
                <c:pt idx="117">
                  <c:v>87296.097406457993</c:v>
                </c:pt>
                <c:pt idx="118">
                  <c:v>-71310.480207910878</c:v>
                </c:pt>
                <c:pt idx="119">
                  <c:v>-4975.8186270925216</c:v>
                </c:pt>
                <c:pt idx="120">
                  <c:v>-53482.204880068835</c:v>
                </c:pt>
                <c:pt idx="121">
                  <c:v>36026.783350614714</c:v>
                </c:pt>
                <c:pt idx="122">
                  <c:v>-32454.983670084155</c:v>
                </c:pt>
                <c:pt idx="123">
                  <c:v>-64254.582701205742</c:v>
                </c:pt>
                <c:pt idx="124">
                  <c:v>76285.972583058174</c:v>
                </c:pt>
                <c:pt idx="125">
                  <c:v>-21552.785960535868</c:v>
                </c:pt>
                <c:pt idx="126">
                  <c:v>39927.543372862041</c:v>
                </c:pt>
                <c:pt idx="127">
                  <c:v>-20106.380810166826</c:v>
                </c:pt>
                <c:pt idx="128">
                  <c:v>21931.25204198854</c:v>
                </c:pt>
                <c:pt idx="129">
                  <c:v>2609.2773674819618</c:v>
                </c:pt>
                <c:pt idx="130">
                  <c:v>-67035.235336851794</c:v>
                </c:pt>
                <c:pt idx="131">
                  <c:v>-17167.500484380987</c:v>
                </c:pt>
                <c:pt idx="132">
                  <c:v>-54908.016204070649</c:v>
                </c:pt>
                <c:pt idx="133">
                  <c:v>-49454.116014564352</c:v>
                </c:pt>
                <c:pt idx="134">
                  <c:v>-9712.9947791201994</c:v>
                </c:pt>
                <c:pt idx="135">
                  <c:v>-20223.005314715789</c:v>
                </c:pt>
                <c:pt idx="136">
                  <c:v>-74463.764339236193</c:v>
                </c:pt>
                <c:pt idx="137">
                  <c:v>36369.103639803943</c:v>
                </c:pt>
                <c:pt idx="138">
                  <c:v>75120.106078310753</c:v>
                </c:pt>
                <c:pt idx="139">
                  <c:v>28361.153977255453</c:v>
                </c:pt>
                <c:pt idx="140">
                  <c:v>37765.580174423987</c:v>
                </c:pt>
                <c:pt idx="141">
                  <c:v>7894.2769953686511</c:v>
                </c:pt>
                <c:pt idx="142">
                  <c:v>37405.885216745897</c:v>
                </c:pt>
                <c:pt idx="143">
                  <c:v>14670.848274462973</c:v>
                </c:pt>
                <c:pt idx="144">
                  <c:v>-16303.097614999395</c:v>
                </c:pt>
                <c:pt idx="145">
                  <c:v>-13593.497124249232</c:v>
                </c:pt>
                <c:pt idx="146">
                  <c:v>16090.198541079648</c:v>
                </c:pt>
                <c:pt idx="147">
                  <c:v>18741.353853696026</c:v>
                </c:pt>
                <c:pt idx="148">
                  <c:v>-40890.951395024313</c:v>
                </c:pt>
                <c:pt idx="149">
                  <c:v>-10616.831130983424</c:v>
                </c:pt>
                <c:pt idx="150">
                  <c:v>22760.745666746167</c:v>
                </c:pt>
                <c:pt idx="151">
                  <c:v>10980.534825027222</c:v>
                </c:pt>
                <c:pt idx="152">
                  <c:v>-15683.210184405791</c:v>
                </c:pt>
                <c:pt idx="153">
                  <c:v>13372.198344959761</c:v>
                </c:pt>
                <c:pt idx="154">
                  <c:v>-39937.166258573881</c:v>
                </c:pt>
                <c:pt idx="155">
                  <c:v>-384.22638123715296</c:v>
                </c:pt>
                <c:pt idx="156">
                  <c:v>-14150.102509110584</c:v>
                </c:pt>
                <c:pt idx="157">
                  <c:v>-27767.950229475158</c:v>
                </c:pt>
                <c:pt idx="158">
                  <c:v>70278.728552476503</c:v>
                </c:pt>
                <c:pt idx="159">
                  <c:v>60131.600393095636</c:v>
                </c:pt>
                <c:pt idx="160">
                  <c:v>-56426.036263536895</c:v>
                </c:pt>
                <c:pt idx="161">
                  <c:v>66877.512257629074</c:v>
                </c:pt>
                <c:pt idx="162">
                  <c:v>-17834.972843340947</c:v>
                </c:pt>
                <c:pt idx="163">
                  <c:v>-17561.167302464019</c:v>
                </c:pt>
                <c:pt idx="164">
                  <c:v>36728.768946809345</c:v>
                </c:pt>
                <c:pt idx="165">
                  <c:v>-30203.475982093718</c:v>
                </c:pt>
                <c:pt idx="166">
                  <c:v>-13448.978296396905</c:v>
                </c:pt>
                <c:pt idx="167">
                  <c:v>2525.6097810168285</c:v>
                </c:pt>
                <c:pt idx="168">
                  <c:v>-25288.935720009264</c:v>
                </c:pt>
                <c:pt idx="169">
                  <c:v>-69310.68791639444</c:v>
                </c:pt>
                <c:pt idx="170">
                  <c:v>40682.273673473625</c:v>
                </c:pt>
                <c:pt idx="171">
                  <c:v>922.53467411349993</c:v>
                </c:pt>
                <c:pt idx="172">
                  <c:v>33681.170755378553</c:v>
                </c:pt>
                <c:pt idx="173">
                  <c:v>-7783.8649610700086</c:v>
                </c:pt>
                <c:pt idx="174">
                  <c:v>-2795.2352716417518</c:v>
                </c:pt>
                <c:pt idx="175">
                  <c:v>8059.6060102516785</c:v>
                </c:pt>
                <c:pt idx="176">
                  <c:v>-1982.4565074355341</c:v>
                </c:pt>
                <c:pt idx="177">
                  <c:v>49632.523313343991</c:v>
                </c:pt>
                <c:pt idx="178">
                  <c:v>7826.9726684617344</c:v>
                </c:pt>
                <c:pt idx="179">
                  <c:v>34001.563883399358</c:v>
                </c:pt>
                <c:pt idx="180">
                  <c:v>4350.1648900639266</c:v>
                </c:pt>
                <c:pt idx="181">
                  <c:v>11308.628579103388</c:v>
                </c:pt>
                <c:pt idx="182">
                  <c:v>6598.4472384188557</c:v>
                </c:pt>
                <c:pt idx="183">
                  <c:v>7271.4418750627665</c:v>
                </c:pt>
                <c:pt idx="184">
                  <c:v>-23486.627724211779</c:v>
                </c:pt>
                <c:pt idx="185">
                  <c:v>17683.092780012754</c:v>
                </c:pt>
                <c:pt idx="186">
                  <c:v>59791.609200068284</c:v>
                </c:pt>
                <c:pt idx="187">
                  <c:v>3507.09281033359</c:v>
                </c:pt>
                <c:pt idx="188">
                  <c:v>37546.818455140456</c:v>
                </c:pt>
                <c:pt idx="189">
                  <c:v>14156.74429058691</c:v>
                </c:pt>
                <c:pt idx="190">
                  <c:v>-5521.701050160802</c:v>
                </c:pt>
                <c:pt idx="191">
                  <c:v>-48068.02695834206</c:v>
                </c:pt>
                <c:pt idx="192">
                  <c:v>-32846.168742094422</c:v>
                </c:pt>
                <c:pt idx="193">
                  <c:v>4933.7345669901697</c:v>
                </c:pt>
                <c:pt idx="194">
                  <c:v>8145.1424212144921</c:v>
                </c:pt>
                <c:pt idx="195">
                  <c:v>-74482.389024564705</c:v>
                </c:pt>
                <c:pt idx="196">
                  <c:v>58391.862800903735</c:v>
                </c:pt>
                <c:pt idx="197">
                  <c:v>-28701.85991488467</c:v>
                </c:pt>
                <c:pt idx="198">
                  <c:v>-16726.406184256542</c:v>
                </c:pt>
                <c:pt idx="199">
                  <c:v>89536.056512310286</c:v>
                </c:pt>
                <c:pt idx="200">
                  <c:v>-31949.59957091033</c:v>
                </c:pt>
                <c:pt idx="201">
                  <c:v>74552.097428550711</c:v>
                </c:pt>
                <c:pt idx="202">
                  <c:v>-70619.376423915499</c:v>
                </c:pt>
                <c:pt idx="203">
                  <c:v>-37447.365648613311</c:v>
                </c:pt>
                <c:pt idx="204">
                  <c:v>-17020.691374868155</c:v>
                </c:pt>
                <c:pt idx="205">
                  <c:v>55472.542886759504</c:v>
                </c:pt>
                <c:pt idx="206">
                  <c:v>-61774.016211703769</c:v>
                </c:pt>
                <c:pt idx="207">
                  <c:v>-79251.394279664033</c:v>
                </c:pt>
                <c:pt idx="208">
                  <c:v>14814.93295536947</c:v>
                </c:pt>
                <c:pt idx="209">
                  <c:v>-65940.620952712488</c:v>
                </c:pt>
                <c:pt idx="210">
                  <c:v>-12783.478901439114</c:v>
                </c:pt>
                <c:pt idx="211">
                  <c:v>-9727.8997977415565</c:v>
                </c:pt>
                <c:pt idx="212">
                  <c:v>36152.103286266443</c:v>
                </c:pt>
                <c:pt idx="213">
                  <c:v>43173.495662944741</c:v>
                </c:pt>
                <c:pt idx="214">
                  <c:v>-14175.746289450326</c:v>
                </c:pt>
                <c:pt idx="215">
                  <c:v>4977.6160121682333</c:v>
                </c:pt>
                <c:pt idx="216">
                  <c:v>21744.13579642179</c:v>
                </c:pt>
                <c:pt idx="217">
                  <c:v>-11361.176274736063</c:v>
                </c:pt>
                <c:pt idx="218">
                  <c:v>40672.399245483102</c:v>
                </c:pt>
                <c:pt idx="219">
                  <c:v>-5473.3414625355508</c:v>
                </c:pt>
                <c:pt idx="220">
                  <c:v>15141.876196693745</c:v>
                </c:pt>
                <c:pt idx="221">
                  <c:v>7138.8004373770673</c:v>
                </c:pt>
                <c:pt idx="222">
                  <c:v>5254.4900530084269</c:v>
                </c:pt>
                <c:pt idx="223">
                  <c:v>-31905.052277921932</c:v>
                </c:pt>
                <c:pt idx="224">
                  <c:v>40571.147932858439</c:v>
                </c:pt>
                <c:pt idx="225">
                  <c:v>12306.40021869872</c:v>
                </c:pt>
                <c:pt idx="226">
                  <c:v>-21476.731081700651</c:v>
                </c:pt>
                <c:pt idx="227">
                  <c:v>22258.791594973474</c:v>
                </c:pt>
                <c:pt idx="228">
                  <c:v>-50818.69585107686</c:v>
                </c:pt>
                <c:pt idx="229">
                  <c:v>57671.717775837751</c:v>
                </c:pt>
                <c:pt idx="230">
                  <c:v>-32197.260877824156</c:v>
                </c:pt>
                <c:pt idx="231">
                  <c:v>26135.095451347879</c:v>
                </c:pt>
                <c:pt idx="232">
                  <c:v>46842.895974721643</c:v>
                </c:pt>
                <c:pt idx="233">
                  <c:v>83826.613294604351</c:v>
                </c:pt>
                <c:pt idx="234">
                  <c:v>8362.8059956963407</c:v>
                </c:pt>
                <c:pt idx="235">
                  <c:v>8085.7998448831495</c:v>
                </c:pt>
                <c:pt idx="236">
                  <c:v>-82033.971156941261</c:v>
                </c:pt>
                <c:pt idx="237">
                  <c:v>-23233.9893119185</c:v>
                </c:pt>
                <c:pt idx="238">
                  <c:v>-13314.499488121481</c:v>
                </c:pt>
                <c:pt idx="239">
                  <c:v>3965.5503800655715</c:v>
                </c:pt>
                <c:pt idx="240">
                  <c:v>25016.265670952736</c:v>
                </c:pt>
                <c:pt idx="241">
                  <c:v>7251.1897042765049</c:v>
                </c:pt>
                <c:pt idx="242">
                  <c:v>-5193.563538994058</c:v>
                </c:pt>
                <c:pt idx="243">
                  <c:v>-10477.961042018491</c:v>
                </c:pt>
                <c:pt idx="244">
                  <c:v>24862.441537567298</c:v>
                </c:pt>
                <c:pt idx="245">
                  <c:v>11580.237017213833</c:v>
                </c:pt>
                <c:pt idx="246">
                  <c:v>-16678.138792572776</c:v>
                </c:pt>
                <c:pt idx="247">
                  <c:v>3948.8317629219964</c:v>
                </c:pt>
                <c:pt idx="248">
                  <c:v>18285.774543538806</c:v>
                </c:pt>
                <c:pt idx="249">
                  <c:v>-8463.9945273931371</c:v>
                </c:pt>
                <c:pt idx="250">
                  <c:v>5350.5959814187372</c:v>
                </c:pt>
                <c:pt idx="251">
                  <c:v>17375.545140076312</c:v>
                </c:pt>
                <c:pt idx="252">
                  <c:v>-19665.83956971881</c:v>
                </c:pt>
                <c:pt idx="253">
                  <c:v>70181.177805456799</c:v>
                </c:pt>
                <c:pt idx="254">
                  <c:v>17019.515658253804</c:v>
                </c:pt>
                <c:pt idx="255">
                  <c:v>-59357.220397502067</c:v>
                </c:pt>
                <c:pt idx="256">
                  <c:v>66620.223475624691</c:v>
                </c:pt>
                <c:pt idx="257">
                  <c:v>2550.0690936011961</c:v>
                </c:pt>
                <c:pt idx="258">
                  <c:v>-14262.861586658517</c:v>
                </c:pt>
                <c:pt idx="259">
                  <c:v>40340.829162560403</c:v>
                </c:pt>
                <c:pt idx="260">
                  <c:v>-424.0676527878968</c:v>
                </c:pt>
                <c:pt idx="261">
                  <c:v>-6525.3598302601604</c:v>
                </c:pt>
                <c:pt idx="262">
                  <c:v>58531.449893885525</c:v>
                </c:pt>
                <c:pt idx="263">
                  <c:v>21193.847606689786</c:v>
                </c:pt>
                <c:pt idx="264">
                  <c:v>-9871.8726875142893</c:v>
                </c:pt>
                <c:pt idx="265">
                  <c:v>38649.283422643784</c:v>
                </c:pt>
                <c:pt idx="266">
                  <c:v>30923.901169023244</c:v>
                </c:pt>
                <c:pt idx="267">
                  <c:v>41432.320506498683</c:v>
                </c:pt>
                <c:pt idx="268">
                  <c:v>-79808.338610787992</c:v>
                </c:pt>
                <c:pt idx="269">
                  <c:v>50476.932587645366</c:v>
                </c:pt>
                <c:pt idx="270">
                  <c:v>-5939.7326649073511</c:v>
                </c:pt>
                <c:pt idx="271">
                  <c:v>-71428.350634973031</c:v>
                </c:pt>
                <c:pt idx="272">
                  <c:v>5221.2574555516476</c:v>
                </c:pt>
                <c:pt idx="273">
                  <c:v>41528.14588468289</c:v>
                </c:pt>
                <c:pt idx="274">
                  <c:v>-8997.2383942551678</c:v>
                </c:pt>
                <c:pt idx="275">
                  <c:v>91668.572257052874</c:v>
                </c:pt>
                <c:pt idx="276">
                  <c:v>-63679.38358230528</c:v>
                </c:pt>
                <c:pt idx="277">
                  <c:v>32899.981247370946</c:v>
                </c:pt>
                <c:pt idx="278">
                  <c:v>9550.190275053028</c:v>
                </c:pt>
                <c:pt idx="279">
                  <c:v>-12997.859893459245</c:v>
                </c:pt>
                <c:pt idx="280">
                  <c:v>-51492.096723981551</c:v>
                </c:pt>
                <c:pt idx="281">
                  <c:v>-36995.910762457526</c:v>
                </c:pt>
                <c:pt idx="282">
                  <c:v>13811.608922852087</c:v>
                </c:pt>
                <c:pt idx="283">
                  <c:v>-8999.4342753458186</c:v>
                </c:pt>
                <c:pt idx="284">
                  <c:v>-12562.979553747107</c:v>
                </c:pt>
                <c:pt idx="285">
                  <c:v>-3323.3819294533459</c:v>
                </c:pt>
                <c:pt idx="286">
                  <c:v>8905.5790149988607</c:v>
                </c:pt>
                <c:pt idx="287">
                  <c:v>-13023.745759743499</c:v>
                </c:pt>
                <c:pt idx="288">
                  <c:v>50188.250314401579</c:v>
                </c:pt>
                <c:pt idx="289">
                  <c:v>-10083.798959154403</c:v>
                </c:pt>
                <c:pt idx="290">
                  <c:v>106192.70634373149</c:v>
                </c:pt>
                <c:pt idx="291">
                  <c:v>-660.51106072228868</c:v>
                </c:pt>
                <c:pt idx="292">
                  <c:v>-49842.176765253185</c:v>
                </c:pt>
                <c:pt idx="293">
                  <c:v>637.0166488212999</c:v>
                </c:pt>
                <c:pt idx="294">
                  <c:v>-9594.7625466982718</c:v>
                </c:pt>
                <c:pt idx="295">
                  <c:v>12161.866473145375</c:v>
                </c:pt>
                <c:pt idx="296">
                  <c:v>-7725.7485264360439</c:v>
                </c:pt>
                <c:pt idx="297">
                  <c:v>80598.237773938221</c:v>
                </c:pt>
                <c:pt idx="298">
                  <c:v>-21437.678101157304</c:v>
                </c:pt>
                <c:pt idx="299">
                  <c:v>-69871.425121836306</c:v>
                </c:pt>
                <c:pt idx="300">
                  <c:v>-24955.196922614006</c:v>
                </c:pt>
                <c:pt idx="301">
                  <c:v>-6421.6194239672041</c:v>
                </c:pt>
                <c:pt idx="302">
                  <c:v>-18634.526272425195</c:v>
                </c:pt>
                <c:pt idx="303">
                  <c:v>51383.354671249981</c:v>
                </c:pt>
                <c:pt idx="304">
                  <c:v>41406.451890726923</c:v>
                </c:pt>
                <c:pt idx="305">
                  <c:v>-93480.754941086867</c:v>
                </c:pt>
                <c:pt idx="306">
                  <c:v>53988.814320102101</c:v>
                </c:pt>
                <c:pt idx="307">
                  <c:v>-49346.588811333291</c:v>
                </c:pt>
                <c:pt idx="308">
                  <c:v>-22282.097101375228</c:v>
                </c:pt>
                <c:pt idx="309">
                  <c:v>-48515.608121502097</c:v>
                </c:pt>
                <c:pt idx="310">
                  <c:v>-20328.170178774977</c:v>
                </c:pt>
                <c:pt idx="311">
                  <c:v>12772.966173886089</c:v>
                </c:pt>
                <c:pt idx="312">
                  <c:v>39492.690647941316</c:v>
                </c:pt>
                <c:pt idx="313">
                  <c:v>-24617.046396170976</c:v>
                </c:pt>
                <c:pt idx="314">
                  <c:v>33445.537383546471</c:v>
                </c:pt>
                <c:pt idx="315">
                  <c:v>33363.594467651565</c:v>
                </c:pt>
                <c:pt idx="316">
                  <c:v>-38789.424119110336</c:v>
                </c:pt>
                <c:pt idx="317">
                  <c:v>24191.533265398582</c:v>
                </c:pt>
                <c:pt idx="318">
                  <c:v>11020.303544730181</c:v>
                </c:pt>
                <c:pt idx="319">
                  <c:v>-21112.599669000367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C6-3D46-B861-78BF5C038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825919"/>
        <c:axId val="89152063"/>
      </c:scatterChart>
      <c:valAx>
        <c:axId val="263825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avg_discount_pct</a:t>
                </a:r>
              </a:p>
            </c:rich>
          </c:tx>
          <c:overlay val="0"/>
        </c:title>
        <c:majorTickMark val="out"/>
        <c:minorTickMark val="none"/>
        <c:tickLblPos val="nextTo"/>
        <c:crossAx val="89152063"/>
        <c:crosses val="autoZero"/>
        <c:crossBetween val="midCat"/>
      </c:valAx>
      <c:valAx>
        <c:axId val="89152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382591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inventory_availability_pct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'MR Output'!$G$2:$G$321</c:f>
              <c:strCache>
                <c:ptCount val="27"/>
                <c:pt idx="14">
                  <c:v>Upper 95%</c:v>
                </c:pt>
                <c:pt idx="15">
                  <c:v>173175.5338</c:v>
                </c:pt>
                <c:pt idx="16">
                  <c:v>1.447672516</c:v>
                </c:pt>
                <c:pt idx="17">
                  <c:v>35.99848401</c:v>
                </c:pt>
                <c:pt idx="18">
                  <c:v>25990.47646</c:v>
                </c:pt>
                <c:pt idx="19">
                  <c:v>390339.752</c:v>
                </c:pt>
                <c:pt idx="20">
                  <c:v>22961.71958</c:v>
                </c:pt>
                <c:pt idx="21">
                  <c:v>30416.72105</c:v>
                </c:pt>
                <c:pt idx="22">
                  <c:v>20020.01315</c:v>
                </c:pt>
                <c:pt idx="23">
                  <c:v>32729.1043</c:v>
                </c:pt>
                <c:pt idx="24">
                  <c:v>1762.905949</c:v>
                </c:pt>
                <c:pt idx="25">
                  <c:v>-16070.63482</c:v>
                </c:pt>
                <c:pt idx="26">
                  <c:v>31807.22022</c:v>
                </c:pt>
              </c:strCache>
            </c:strRef>
          </c:xVal>
          <c:yVal>
            <c:numRef>
              <c:f>'MR Output'!$C$35:$C$354</c:f>
              <c:numCache>
                <c:formatCode>General</c:formatCode>
                <c:ptCount val="320"/>
                <c:pt idx="0">
                  <c:v>-23396.626781843137</c:v>
                </c:pt>
                <c:pt idx="1">
                  <c:v>-40589.274646520149</c:v>
                </c:pt>
                <c:pt idx="2">
                  <c:v>-54738.979435316287</c:v>
                </c:pt>
                <c:pt idx="3">
                  <c:v>-80673.972340586013</c:v>
                </c:pt>
                <c:pt idx="4">
                  <c:v>-48983.906844820362</c:v>
                </c:pt>
                <c:pt idx="5">
                  <c:v>-21788.994438463938</c:v>
                </c:pt>
                <c:pt idx="6">
                  <c:v>16106.574343493208</c:v>
                </c:pt>
                <c:pt idx="7">
                  <c:v>74722.573556983261</c:v>
                </c:pt>
                <c:pt idx="8">
                  <c:v>65114.694738529157</c:v>
                </c:pt>
                <c:pt idx="9">
                  <c:v>-24713.516222127946</c:v>
                </c:pt>
                <c:pt idx="10">
                  <c:v>-35078.386815394508</c:v>
                </c:pt>
                <c:pt idx="11">
                  <c:v>41587.256043890025</c:v>
                </c:pt>
                <c:pt idx="12">
                  <c:v>54466.515269455151</c:v>
                </c:pt>
                <c:pt idx="13">
                  <c:v>-38824.672632375965</c:v>
                </c:pt>
                <c:pt idx="14">
                  <c:v>7490.529813800822</c:v>
                </c:pt>
                <c:pt idx="15">
                  <c:v>31047.402063647634</c:v>
                </c:pt>
                <c:pt idx="16">
                  <c:v>-14466.638574450044</c:v>
                </c:pt>
                <c:pt idx="17">
                  <c:v>-17967.734839509358</c:v>
                </c:pt>
                <c:pt idx="18">
                  <c:v>-20588.291941397823</c:v>
                </c:pt>
                <c:pt idx="19">
                  <c:v>-4500.2829324092017</c:v>
                </c:pt>
                <c:pt idx="20">
                  <c:v>-84848.752077705634</c:v>
                </c:pt>
                <c:pt idx="21">
                  <c:v>-2247.007168705517</c:v>
                </c:pt>
                <c:pt idx="22">
                  <c:v>33216.096190231852</c:v>
                </c:pt>
                <c:pt idx="23">
                  <c:v>15763.265457478585</c:v>
                </c:pt>
                <c:pt idx="24">
                  <c:v>-28825.022886868916</c:v>
                </c:pt>
                <c:pt idx="25">
                  <c:v>-112680.30349482025</c:v>
                </c:pt>
                <c:pt idx="26">
                  <c:v>-19187.56667163712</c:v>
                </c:pt>
                <c:pt idx="27">
                  <c:v>-1982.2051082962425</c:v>
                </c:pt>
                <c:pt idx="28">
                  <c:v>-54597.565121964726</c:v>
                </c:pt>
                <c:pt idx="29">
                  <c:v>35273.884643438621</c:v>
                </c:pt>
                <c:pt idx="30">
                  <c:v>5064.9537055502879</c:v>
                </c:pt>
                <c:pt idx="31">
                  <c:v>-50092.283397609252</c:v>
                </c:pt>
                <c:pt idx="32">
                  <c:v>-99075.453786892351</c:v>
                </c:pt>
                <c:pt idx="33">
                  <c:v>-47329.614193545538</c:v>
                </c:pt>
                <c:pt idx="34">
                  <c:v>9811.4259448212106</c:v>
                </c:pt>
                <c:pt idx="35">
                  <c:v>-8535.2947134464048</c:v>
                </c:pt>
                <c:pt idx="36">
                  <c:v>42055.875067052781</c:v>
                </c:pt>
                <c:pt idx="37">
                  <c:v>-41249.791617452633</c:v>
                </c:pt>
                <c:pt idx="38">
                  <c:v>-12094.301091901609</c:v>
                </c:pt>
                <c:pt idx="39">
                  <c:v>-3967.3774898507399</c:v>
                </c:pt>
                <c:pt idx="40">
                  <c:v>4417.2622600748437</c:v>
                </c:pt>
                <c:pt idx="41">
                  <c:v>8801.1888409905368</c:v>
                </c:pt>
                <c:pt idx="42">
                  <c:v>69029.08785512601</c:v>
                </c:pt>
                <c:pt idx="43">
                  <c:v>4527.6321805616608</c:v>
                </c:pt>
                <c:pt idx="44">
                  <c:v>-119858.46516582719</c:v>
                </c:pt>
                <c:pt idx="45">
                  <c:v>-29424.765788684483</c:v>
                </c:pt>
                <c:pt idx="46">
                  <c:v>45989.753125274903</c:v>
                </c:pt>
                <c:pt idx="47">
                  <c:v>26186.059941890649</c:v>
                </c:pt>
                <c:pt idx="48">
                  <c:v>-43005.161184015567</c:v>
                </c:pt>
                <c:pt idx="49">
                  <c:v>3594.0575298904441</c:v>
                </c:pt>
                <c:pt idx="50">
                  <c:v>5119.67701850296</c:v>
                </c:pt>
                <c:pt idx="51">
                  <c:v>24134.723394281114</c:v>
                </c:pt>
                <c:pt idx="52">
                  <c:v>-99951.999509744695</c:v>
                </c:pt>
                <c:pt idx="53">
                  <c:v>22211.565001384588</c:v>
                </c:pt>
                <c:pt idx="54">
                  <c:v>31813.553961634985</c:v>
                </c:pt>
                <c:pt idx="55">
                  <c:v>-49662.841596194368</c:v>
                </c:pt>
                <c:pt idx="56">
                  <c:v>-10161.150369689916</c:v>
                </c:pt>
                <c:pt idx="57">
                  <c:v>-25124.737045928836</c:v>
                </c:pt>
                <c:pt idx="58">
                  <c:v>-51497.728718375205</c:v>
                </c:pt>
                <c:pt idx="59">
                  <c:v>-54496.372349109151</c:v>
                </c:pt>
                <c:pt idx="60">
                  <c:v>57951.797879582387</c:v>
                </c:pt>
                <c:pt idx="61">
                  <c:v>42882.596153215971</c:v>
                </c:pt>
                <c:pt idx="62">
                  <c:v>-11962.920377109898</c:v>
                </c:pt>
                <c:pt idx="63">
                  <c:v>41371.094150976976</c:v>
                </c:pt>
                <c:pt idx="64">
                  <c:v>-24625.628438642598</c:v>
                </c:pt>
                <c:pt idx="65">
                  <c:v>-22386.048004407203</c:v>
                </c:pt>
                <c:pt idx="66">
                  <c:v>-159545.34921086964</c:v>
                </c:pt>
                <c:pt idx="67">
                  <c:v>5163.1553148837993</c:v>
                </c:pt>
                <c:pt idx="68">
                  <c:v>81093.947258593515</c:v>
                </c:pt>
                <c:pt idx="69">
                  <c:v>-11348.700272688933</c:v>
                </c:pt>
                <c:pt idx="70">
                  <c:v>23900.138530391036</c:v>
                </c:pt>
                <c:pt idx="71">
                  <c:v>43893.202803671127</c:v>
                </c:pt>
                <c:pt idx="72">
                  <c:v>24286.882529946859</c:v>
                </c:pt>
                <c:pt idx="73">
                  <c:v>-56455.345427068882</c:v>
                </c:pt>
                <c:pt idx="74">
                  <c:v>92630.743504519342</c:v>
                </c:pt>
                <c:pt idx="75">
                  <c:v>-27963.210606254521</c:v>
                </c:pt>
                <c:pt idx="76">
                  <c:v>-10280.063729639282</c:v>
                </c:pt>
                <c:pt idx="77">
                  <c:v>42807.102380570839</c:v>
                </c:pt>
                <c:pt idx="78">
                  <c:v>51721.538853458012</c:v>
                </c:pt>
                <c:pt idx="79">
                  <c:v>-23075.104466554476</c:v>
                </c:pt>
                <c:pt idx="80">
                  <c:v>-39107.691414364264</c:v>
                </c:pt>
                <c:pt idx="81">
                  <c:v>33691.394678910729</c:v>
                </c:pt>
                <c:pt idx="82">
                  <c:v>64637.530529205338</c:v>
                </c:pt>
                <c:pt idx="83">
                  <c:v>368.90728751698043</c:v>
                </c:pt>
                <c:pt idx="84">
                  <c:v>-1410.3824697458185</c:v>
                </c:pt>
                <c:pt idx="85">
                  <c:v>-36538.832739606267</c:v>
                </c:pt>
                <c:pt idx="86">
                  <c:v>-15777.861594122718</c:v>
                </c:pt>
                <c:pt idx="87">
                  <c:v>-16435.163458375144</c:v>
                </c:pt>
                <c:pt idx="88">
                  <c:v>21755.457781846984</c:v>
                </c:pt>
                <c:pt idx="89">
                  <c:v>-145887.49825806229</c:v>
                </c:pt>
                <c:pt idx="90">
                  <c:v>2237.4343256924767</c:v>
                </c:pt>
                <c:pt idx="91">
                  <c:v>14437.798364212271</c:v>
                </c:pt>
                <c:pt idx="92">
                  <c:v>-9434.9598424386932</c:v>
                </c:pt>
                <c:pt idx="93">
                  <c:v>50092.299131099135</c:v>
                </c:pt>
                <c:pt idx="94">
                  <c:v>56673.539790682495</c:v>
                </c:pt>
                <c:pt idx="95">
                  <c:v>-17922.169680106104</c:v>
                </c:pt>
                <c:pt idx="96">
                  <c:v>-22456.368847186794</c:v>
                </c:pt>
                <c:pt idx="97">
                  <c:v>60317.828572276398</c:v>
                </c:pt>
                <c:pt idx="98">
                  <c:v>-22505.275326767354</c:v>
                </c:pt>
                <c:pt idx="99">
                  <c:v>7881.3132524674293</c:v>
                </c:pt>
                <c:pt idx="100">
                  <c:v>41162.478323775344</c:v>
                </c:pt>
                <c:pt idx="101">
                  <c:v>-44286.779506593593</c:v>
                </c:pt>
                <c:pt idx="102">
                  <c:v>27523.796681808657</c:v>
                </c:pt>
                <c:pt idx="103">
                  <c:v>84798.177160112187</c:v>
                </c:pt>
                <c:pt idx="104">
                  <c:v>38910.187828109134</c:v>
                </c:pt>
                <c:pt idx="105">
                  <c:v>-3073.8266053253319</c:v>
                </c:pt>
                <c:pt idx="106">
                  <c:v>76768.141347562429</c:v>
                </c:pt>
                <c:pt idx="107">
                  <c:v>-1939.1162745676702</c:v>
                </c:pt>
                <c:pt idx="108">
                  <c:v>36794.303905852372</c:v>
                </c:pt>
                <c:pt idx="109">
                  <c:v>16947.442180440761</c:v>
                </c:pt>
                <c:pt idx="110">
                  <c:v>-23166.90868565999</c:v>
                </c:pt>
                <c:pt idx="111">
                  <c:v>112722.72216396674</c:v>
                </c:pt>
                <c:pt idx="112">
                  <c:v>38935.058477346203</c:v>
                </c:pt>
                <c:pt idx="113">
                  <c:v>33051.941057308461</c:v>
                </c:pt>
                <c:pt idx="114">
                  <c:v>-50182.487019258668</c:v>
                </c:pt>
                <c:pt idx="115">
                  <c:v>-41075.971891315421</c:v>
                </c:pt>
                <c:pt idx="116">
                  <c:v>47.99631519196555</c:v>
                </c:pt>
                <c:pt idx="117">
                  <c:v>87296.097406457993</c:v>
                </c:pt>
                <c:pt idx="118">
                  <c:v>-71310.480207910878</c:v>
                </c:pt>
                <c:pt idx="119">
                  <c:v>-4975.8186270925216</c:v>
                </c:pt>
                <c:pt idx="120">
                  <c:v>-53482.204880068835</c:v>
                </c:pt>
                <c:pt idx="121">
                  <c:v>36026.783350614714</c:v>
                </c:pt>
                <c:pt idx="122">
                  <c:v>-32454.983670084155</c:v>
                </c:pt>
                <c:pt idx="123">
                  <c:v>-64254.582701205742</c:v>
                </c:pt>
                <c:pt idx="124">
                  <c:v>76285.972583058174</c:v>
                </c:pt>
                <c:pt idx="125">
                  <c:v>-21552.785960535868</c:v>
                </c:pt>
                <c:pt idx="126">
                  <c:v>39927.543372862041</c:v>
                </c:pt>
                <c:pt idx="127">
                  <c:v>-20106.380810166826</c:v>
                </c:pt>
                <c:pt idx="128">
                  <c:v>21931.25204198854</c:v>
                </c:pt>
                <c:pt idx="129">
                  <c:v>2609.2773674819618</c:v>
                </c:pt>
                <c:pt idx="130">
                  <c:v>-67035.235336851794</c:v>
                </c:pt>
                <c:pt idx="131">
                  <c:v>-17167.500484380987</c:v>
                </c:pt>
                <c:pt idx="132">
                  <c:v>-54908.016204070649</c:v>
                </c:pt>
                <c:pt idx="133">
                  <c:v>-49454.116014564352</c:v>
                </c:pt>
                <c:pt idx="134">
                  <c:v>-9712.9947791201994</c:v>
                </c:pt>
                <c:pt idx="135">
                  <c:v>-20223.005314715789</c:v>
                </c:pt>
                <c:pt idx="136">
                  <c:v>-74463.764339236193</c:v>
                </c:pt>
                <c:pt idx="137">
                  <c:v>36369.103639803943</c:v>
                </c:pt>
                <c:pt idx="138">
                  <c:v>75120.106078310753</c:v>
                </c:pt>
                <c:pt idx="139">
                  <c:v>28361.153977255453</c:v>
                </c:pt>
                <c:pt idx="140">
                  <c:v>37765.580174423987</c:v>
                </c:pt>
                <c:pt idx="141">
                  <c:v>7894.2769953686511</c:v>
                </c:pt>
                <c:pt idx="142">
                  <c:v>37405.885216745897</c:v>
                </c:pt>
                <c:pt idx="143">
                  <c:v>14670.848274462973</c:v>
                </c:pt>
                <c:pt idx="144">
                  <c:v>-16303.097614999395</c:v>
                </c:pt>
                <c:pt idx="145">
                  <c:v>-13593.497124249232</c:v>
                </c:pt>
                <c:pt idx="146">
                  <c:v>16090.198541079648</c:v>
                </c:pt>
                <c:pt idx="147">
                  <c:v>18741.353853696026</c:v>
                </c:pt>
                <c:pt idx="148">
                  <c:v>-40890.951395024313</c:v>
                </c:pt>
                <c:pt idx="149">
                  <c:v>-10616.831130983424</c:v>
                </c:pt>
                <c:pt idx="150">
                  <c:v>22760.745666746167</c:v>
                </c:pt>
                <c:pt idx="151">
                  <c:v>10980.534825027222</c:v>
                </c:pt>
                <c:pt idx="152">
                  <c:v>-15683.210184405791</c:v>
                </c:pt>
                <c:pt idx="153">
                  <c:v>13372.198344959761</c:v>
                </c:pt>
                <c:pt idx="154">
                  <c:v>-39937.166258573881</c:v>
                </c:pt>
                <c:pt idx="155">
                  <c:v>-384.22638123715296</c:v>
                </c:pt>
                <c:pt idx="156">
                  <c:v>-14150.102509110584</c:v>
                </c:pt>
                <c:pt idx="157">
                  <c:v>-27767.950229475158</c:v>
                </c:pt>
                <c:pt idx="158">
                  <c:v>70278.728552476503</c:v>
                </c:pt>
                <c:pt idx="159">
                  <c:v>60131.600393095636</c:v>
                </c:pt>
                <c:pt idx="160">
                  <c:v>-56426.036263536895</c:v>
                </c:pt>
                <c:pt idx="161">
                  <c:v>66877.512257629074</c:v>
                </c:pt>
                <c:pt idx="162">
                  <c:v>-17834.972843340947</c:v>
                </c:pt>
                <c:pt idx="163">
                  <c:v>-17561.167302464019</c:v>
                </c:pt>
                <c:pt idx="164">
                  <c:v>36728.768946809345</c:v>
                </c:pt>
                <c:pt idx="165">
                  <c:v>-30203.475982093718</c:v>
                </c:pt>
                <c:pt idx="166">
                  <c:v>-13448.978296396905</c:v>
                </c:pt>
                <c:pt idx="167">
                  <c:v>2525.6097810168285</c:v>
                </c:pt>
                <c:pt idx="168">
                  <c:v>-25288.935720009264</c:v>
                </c:pt>
                <c:pt idx="169">
                  <c:v>-69310.68791639444</c:v>
                </c:pt>
                <c:pt idx="170">
                  <c:v>40682.273673473625</c:v>
                </c:pt>
                <c:pt idx="171">
                  <c:v>922.53467411349993</c:v>
                </c:pt>
                <c:pt idx="172">
                  <c:v>33681.170755378553</c:v>
                </c:pt>
                <c:pt idx="173">
                  <c:v>-7783.8649610700086</c:v>
                </c:pt>
                <c:pt idx="174">
                  <c:v>-2795.2352716417518</c:v>
                </c:pt>
                <c:pt idx="175">
                  <c:v>8059.6060102516785</c:v>
                </c:pt>
                <c:pt idx="176">
                  <c:v>-1982.4565074355341</c:v>
                </c:pt>
                <c:pt idx="177">
                  <c:v>49632.523313343991</c:v>
                </c:pt>
                <c:pt idx="178">
                  <c:v>7826.9726684617344</c:v>
                </c:pt>
                <c:pt idx="179">
                  <c:v>34001.563883399358</c:v>
                </c:pt>
                <c:pt idx="180">
                  <c:v>4350.1648900639266</c:v>
                </c:pt>
                <c:pt idx="181">
                  <c:v>11308.628579103388</c:v>
                </c:pt>
                <c:pt idx="182">
                  <c:v>6598.4472384188557</c:v>
                </c:pt>
                <c:pt idx="183">
                  <c:v>7271.4418750627665</c:v>
                </c:pt>
                <c:pt idx="184">
                  <c:v>-23486.627724211779</c:v>
                </c:pt>
                <c:pt idx="185">
                  <c:v>17683.092780012754</c:v>
                </c:pt>
                <c:pt idx="186">
                  <c:v>59791.609200068284</c:v>
                </c:pt>
                <c:pt idx="187">
                  <c:v>3507.09281033359</c:v>
                </c:pt>
                <c:pt idx="188">
                  <c:v>37546.818455140456</c:v>
                </c:pt>
                <c:pt idx="189">
                  <c:v>14156.74429058691</c:v>
                </c:pt>
                <c:pt idx="190">
                  <c:v>-5521.701050160802</c:v>
                </c:pt>
                <c:pt idx="191">
                  <c:v>-48068.02695834206</c:v>
                </c:pt>
                <c:pt idx="192">
                  <c:v>-32846.168742094422</c:v>
                </c:pt>
                <c:pt idx="193">
                  <c:v>4933.7345669901697</c:v>
                </c:pt>
                <c:pt idx="194">
                  <c:v>8145.1424212144921</c:v>
                </c:pt>
                <c:pt idx="195">
                  <c:v>-74482.389024564705</c:v>
                </c:pt>
                <c:pt idx="196">
                  <c:v>58391.862800903735</c:v>
                </c:pt>
                <c:pt idx="197">
                  <c:v>-28701.85991488467</c:v>
                </c:pt>
                <c:pt idx="198">
                  <c:v>-16726.406184256542</c:v>
                </c:pt>
                <c:pt idx="199">
                  <c:v>89536.056512310286</c:v>
                </c:pt>
                <c:pt idx="200">
                  <c:v>-31949.59957091033</c:v>
                </c:pt>
                <c:pt idx="201">
                  <c:v>74552.097428550711</c:v>
                </c:pt>
                <c:pt idx="202">
                  <c:v>-70619.376423915499</c:v>
                </c:pt>
                <c:pt idx="203">
                  <c:v>-37447.365648613311</c:v>
                </c:pt>
                <c:pt idx="204">
                  <c:v>-17020.691374868155</c:v>
                </c:pt>
                <c:pt idx="205">
                  <c:v>55472.542886759504</c:v>
                </c:pt>
                <c:pt idx="206">
                  <c:v>-61774.016211703769</c:v>
                </c:pt>
                <c:pt idx="207">
                  <c:v>-79251.394279664033</c:v>
                </c:pt>
                <c:pt idx="208">
                  <c:v>14814.93295536947</c:v>
                </c:pt>
                <c:pt idx="209">
                  <c:v>-65940.620952712488</c:v>
                </c:pt>
                <c:pt idx="210">
                  <c:v>-12783.478901439114</c:v>
                </c:pt>
                <c:pt idx="211">
                  <c:v>-9727.8997977415565</c:v>
                </c:pt>
                <c:pt idx="212">
                  <c:v>36152.103286266443</c:v>
                </c:pt>
                <c:pt idx="213">
                  <c:v>43173.495662944741</c:v>
                </c:pt>
                <c:pt idx="214">
                  <c:v>-14175.746289450326</c:v>
                </c:pt>
                <c:pt idx="215">
                  <c:v>4977.6160121682333</c:v>
                </c:pt>
                <c:pt idx="216">
                  <c:v>21744.13579642179</c:v>
                </c:pt>
                <c:pt idx="217">
                  <c:v>-11361.176274736063</c:v>
                </c:pt>
                <c:pt idx="218">
                  <c:v>40672.399245483102</c:v>
                </c:pt>
                <c:pt idx="219">
                  <c:v>-5473.3414625355508</c:v>
                </c:pt>
                <c:pt idx="220">
                  <c:v>15141.876196693745</c:v>
                </c:pt>
                <c:pt idx="221">
                  <c:v>7138.8004373770673</c:v>
                </c:pt>
                <c:pt idx="222">
                  <c:v>5254.4900530084269</c:v>
                </c:pt>
                <c:pt idx="223">
                  <c:v>-31905.052277921932</c:v>
                </c:pt>
                <c:pt idx="224">
                  <c:v>40571.147932858439</c:v>
                </c:pt>
                <c:pt idx="225">
                  <c:v>12306.40021869872</c:v>
                </c:pt>
                <c:pt idx="226">
                  <c:v>-21476.731081700651</c:v>
                </c:pt>
                <c:pt idx="227">
                  <c:v>22258.791594973474</c:v>
                </c:pt>
                <c:pt idx="228">
                  <c:v>-50818.69585107686</c:v>
                </c:pt>
                <c:pt idx="229">
                  <c:v>57671.717775837751</c:v>
                </c:pt>
                <c:pt idx="230">
                  <c:v>-32197.260877824156</c:v>
                </c:pt>
                <c:pt idx="231">
                  <c:v>26135.095451347879</c:v>
                </c:pt>
                <c:pt idx="232">
                  <c:v>46842.895974721643</c:v>
                </c:pt>
                <c:pt idx="233">
                  <c:v>83826.613294604351</c:v>
                </c:pt>
                <c:pt idx="234">
                  <c:v>8362.8059956963407</c:v>
                </c:pt>
                <c:pt idx="235">
                  <c:v>8085.7998448831495</c:v>
                </c:pt>
                <c:pt idx="236">
                  <c:v>-82033.971156941261</c:v>
                </c:pt>
                <c:pt idx="237">
                  <c:v>-23233.9893119185</c:v>
                </c:pt>
                <c:pt idx="238">
                  <c:v>-13314.499488121481</c:v>
                </c:pt>
                <c:pt idx="239">
                  <c:v>3965.5503800655715</c:v>
                </c:pt>
                <c:pt idx="240">
                  <c:v>25016.265670952736</c:v>
                </c:pt>
                <c:pt idx="241">
                  <c:v>7251.1897042765049</c:v>
                </c:pt>
                <c:pt idx="242">
                  <c:v>-5193.563538994058</c:v>
                </c:pt>
                <c:pt idx="243">
                  <c:v>-10477.961042018491</c:v>
                </c:pt>
                <c:pt idx="244">
                  <c:v>24862.441537567298</c:v>
                </c:pt>
                <c:pt idx="245">
                  <c:v>11580.237017213833</c:v>
                </c:pt>
                <c:pt idx="246">
                  <c:v>-16678.138792572776</c:v>
                </c:pt>
                <c:pt idx="247">
                  <c:v>3948.8317629219964</c:v>
                </c:pt>
                <c:pt idx="248">
                  <c:v>18285.774543538806</c:v>
                </c:pt>
                <c:pt idx="249">
                  <c:v>-8463.9945273931371</c:v>
                </c:pt>
                <c:pt idx="250">
                  <c:v>5350.5959814187372</c:v>
                </c:pt>
                <c:pt idx="251">
                  <c:v>17375.545140076312</c:v>
                </c:pt>
                <c:pt idx="252">
                  <c:v>-19665.83956971881</c:v>
                </c:pt>
                <c:pt idx="253">
                  <c:v>70181.177805456799</c:v>
                </c:pt>
                <c:pt idx="254">
                  <c:v>17019.515658253804</c:v>
                </c:pt>
                <c:pt idx="255">
                  <c:v>-59357.220397502067</c:v>
                </c:pt>
                <c:pt idx="256">
                  <c:v>66620.223475624691</c:v>
                </c:pt>
                <c:pt idx="257">
                  <c:v>2550.0690936011961</c:v>
                </c:pt>
                <c:pt idx="258">
                  <c:v>-14262.861586658517</c:v>
                </c:pt>
                <c:pt idx="259">
                  <c:v>40340.829162560403</c:v>
                </c:pt>
                <c:pt idx="260">
                  <c:v>-424.0676527878968</c:v>
                </c:pt>
                <c:pt idx="261">
                  <c:v>-6525.3598302601604</c:v>
                </c:pt>
                <c:pt idx="262">
                  <c:v>58531.449893885525</c:v>
                </c:pt>
                <c:pt idx="263">
                  <c:v>21193.847606689786</c:v>
                </c:pt>
                <c:pt idx="264">
                  <c:v>-9871.8726875142893</c:v>
                </c:pt>
                <c:pt idx="265">
                  <c:v>38649.283422643784</c:v>
                </c:pt>
                <c:pt idx="266">
                  <c:v>30923.901169023244</c:v>
                </c:pt>
                <c:pt idx="267">
                  <c:v>41432.320506498683</c:v>
                </c:pt>
                <c:pt idx="268">
                  <c:v>-79808.338610787992</c:v>
                </c:pt>
                <c:pt idx="269">
                  <c:v>50476.932587645366</c:v>
                </c:pt>
                <c:pt idx="270">
                  <c:v>-5939.7326649073511</c:v>
                </c:pt>
                <c:pt idx="271">
                  <c:v>-71428.350634973031</c:v>
                </c:pt>
                <c:pt idx="272">
                  <c:v>5221.2574555516476</c:v>
                </c:pt>
                <c:pt idx="273">
                  <c:v>41528.14588468289</c:v>
                </c:pt>
                <c:pt idx="274">
                  <c:v>-8997.2383942551678</c:v>
                </c:pt>
                <c:pt idx="275">
                  <c:v>91668.572257052874</c:v>
                </c:pt>
                <c:pt idx="276">
                  <c:v>-63679.38358230528</c:v>
                </c:pt>
                <c:pt idx="277">
                  <c:v>32899.981247370946</c:v>
                </c:pt>
                <c:pt idx="278">
                  <c:v>9550.190275053028</c:v>
                </c:pt>
                <c:pt idx="279">
                  <c:v>-12997.859893459245</c:v>
                </c:pt>
                <c:pt idx="280">
                  <c:v>-51492.096723981551</c:v>
                </c:pt>
                <c:pt idx="281">
                  <c:v>-36995.910762457526</c:v>
                </c:pt>
                <c:pt idx="282">
                  <c:v>13811.608922852087</c:v>
                </c:pt>
                <c:pt idx="283">
                  <c:v>-8999.4342753458186</c:v>
                </c:pt>
                <c:pt idx="284">
                  <c:v>-12562.979553747107</c:v>
                </c:pt>
                <c:pt idx="285">
                  <c:v>-3323.3819294533459</c:v>
                </c:pt>
                <c:pt idx="286">
                  <c:v>8905.5790149988607</c:v>
                </c:pt>
                <c:pt idx="287">
                  <c:v>-13023.745759743499</c:v>
                </c:pt>
                <c:pt idx="288">
                  <c:v>50188.250314401579</c:v>
                </c:pt>
                <c:pt idx="289">
                  <c:v>-10083.798959154403</c:v>
                </c:pt>
                <c:pt idx="290">
                  <c:v>106192.70634373149</c:v>
                </c:pt>
                <c:pt idx="291">
                  <c:v>-660.51106072228868</c:v>
                </c:pt>
                <c:pt idx="292">
                  <c:v>-49842.176765253185</c:v>
                </c:pt>
                <c:pt idx="293">
                  <c:v>637.0166488212999</c:v>
                </c:pt>
                <c:pt idx="294">
                  <c:v>-9594.7625466982718</c:v>
                </c:pt>
                <c:pt idx="295">
                  <c:v>12161.866473145375</c:v>
                </c:pt>
                <c:pt idx="296">
                  <c:v>-7725.7485264360439</c:v>
                </c:pt>
                <c:pt idx="297">
                  <c:v>80598.237773938221</c:v>
                </c:pt>
                <c:pt idx="298">
                  <c:v>-21437.678101157304</c:v>
                </c:pt>
                <c:pt idx="299">
                  <c:v>-69871.425121836306</c:v>
                </c:pt>
                <c:pt idx="300">
                  <c:v>-24955.196922614006</c:v>
                </c:pt>
                <c:pt idx="301">
                  <c:v>-6421.6194239672041</c:v>
                </c:pt>
                <c:pt idx="302">
                  <c:v>-18634.526272425195</c:v>
                </c:pt>
                <c:pt idx="303">
                  <c:v>51383.354671249981</c:v>
                </c:pt>
                <c:pt idx="304">
                  <c:v>41406.451890726923</c:v>
                </c:pt>
                <c:pt idx="305">
                  <c:v>-93480.754941086867</c:v>
                </c:pt>
                <c:pt idx="306">
                  <c:v>53988.814320102101</c:v>
                </c:pt>
                <c:pt idx="307">
                  <c:v>-49346.588811333291</c:v>
                </c:pt>
                <c:pt idx="308">
                  <c:v>-22282.097101375228</c:v>
                </c:pt>
                <c:pt idx="309">
                  <c:v>-48515.608121502097</c:v>
                </c:pt>
                <c:pt idx="310">
                  <c:v>-20328.170178774977</c:v>
                </c:pt>
                <c:pt idx="311">
                  <c:v>12772.966173886089</c:v>
                </c:pt>
                <c:pt idx="312">
                  <c:v>39492.690647941316</c:v>
                </c:pt>
                <c:pt idx="313">
                  <c:v>-24617.046396170976</c:v>
                </c:pt>
                <c:pt idx="314">
                  <c:v>33445.537383546471</c:v>
                </c:pt>
                <c:pt idx="315">
                  <c:v>33363.594467651565</c:v>
                </c:pt>
                <c:pt idx="316">
                  <c:v>-38789.424119110336</c:v>
                </c:pt>
                <c:pt idx="317">
                  <c:v>24191.533265398582</c:v>
                </c:pt>
                <c:pt idx="318">
                  <c:v>11020.303544730181</c:v>
                </c:pt>
                <c:pt idx="319">
                  <c:v>-21112.599669000367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07-5F41-B6C5-7A29A91DD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60511"/>
        <c:axId val="178164991"/>
      </c:scatterChart>
      <c:valAx>
        <c:axId val="17816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inventory_availability_pct</a:t>
                </a:r>
              </a:p>
            </c:rich>
          </c:tx>
          <c:overlay val="0"/>
        </c:title>
        <c:majorTickMark val="out"/>
        <c:minorTickMark val="none"/>
        <c:tickLblPos val="nextTo"/>
        <c:crossAx val="178164991"/>
        <c:crosses val="autoZero"/>
        <c:crossBetween val="midCat"/>
      </c:valAx>
      <c:valAx>
        <c:axId val="1781649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16051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customer_rating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'MR Output'!$H$2:$H$321</c:f>
              <c:strCache>
                <c:ptCount val="27"/>
                <c:pt idx="14">
                  <c:v>Lower 95.0%</c:v>
                </c:pt>
                <c:pt idx="15">
                  <c:v>-14626.49784</c:v>
                </c:pt>
                <c:pt idx="16">
                  <c:v>0.952870439</c:v>
                </c:pt>
                <c:pt idx="17">
                  <c:v>32.00837279</c:v>
                </c:pt>
                <c:pt idx="18">
                  <c:v>-117452.4011</c:v>
                </c:pt>
                <c:pt idx="19">
                  <c:v>210027.1073</c:v>
                </c:pt>
                <c:pt idx="20">
                  <c:v>4165.432144</c:v>
                </c:pt>
                <c:pt idx="21">
                  <c:v>5803.202514</c:v>
                </c:pt>
                <c:pt idx="22">
                  <c:v>-7650.49603</c:v>
                </c:pt>
                <c:pt idx="23">
                  <c:v>4627.738234</c:v>
                </c:pt>
                <c:pt idx="24">
                  <c:v>-23767.70558</c:v>
                </c:pt>
                <c:pt idx="25">
                  <c:v>-42112.82882</c:v>
                </c:pt>
                <c:pt idx="26">
                  <c:v>-6235.212935</c:v>
                </c:pt>
              </c:strCache>
            </c:strRef>
          </c:xVal>
          <c:yVal>
            <c:numRef>
              <c:f>'MR Output'!$C$35:$C$354</c:f>
              <c:numCache>
                <c:formatCode>General</c:formatCode>
                <c:ptCount val="320"/>
                <c:pt idx="0">
                  <c:v>-23396.626781843137</c:v>
                </c:pt>
                <c:pt idx="1">
                  <c:v>-40589.274646520149</c:v>
                </c:pt>
                <c:pt idx="2">
                  <c:v>-54738.979435316287</c:v>
                </c:pt>
                <c:pt idx="3">
                  <c:v>-80673.972340586013</c:v>
                </c:pt>
                <c:pt idx="4">
                  <c:v>-48983.906844820362</c:v>
                </c:pt>
                <c:pt idx="5">
                  <c:v>-21788.994438463938</c:v>
                </c:pt>
                <c:pt idx="6">
                  <c:v>16106.574343493208</c:v>
                </c:pt>
                <c:pt idx="7">
                  <c:v>74722.573556983261</c:v>
                </c:pt>
                <c:pt idx="8">
                  <c:v>65114.694738529157</c:v>
                </c:pt>
                <c:pt idx="9">
                  <c:v>-24713.516222127946</c:v>
                </c:pt>
                <c:pt idx="10">
                  <c:v>-35078.386815394508</c:v>
                </c:pt>
                <c:pt idx="11">
                  <c:v>41587.256043890025</c:v>
                </c:pt>
                <c:pt idx="12">
                  <c:v>54466.515269455151</c:v>
                </c:pt>
                <c:pt idx="13">
                  <c:v>-38824.672632375965</c:v>
                </c:pt>
                <c:pt idx="14">
                  <c:v>7490.529813800822</c:v>
                </c:pt>
                <c:pt idx="15">
                  <c:v>31047.402063647634</c:v>
                </c:pt>
                <c:pt idx="16">
                  <c:v>-14466.638574450044</c:v>
                </c:pt>
                <c:pt idx="17">
                  <c:v>-17967.734839509358</c:v>
                </c:pt>
                <c:pt idx="18">
                  <c:v>-20588.291941397823</c:v>
                </c:pt>
                <c:pt idx="19">
                  <c:v>-4500.2829324092017</c:v>
                </c:pt>
                <c:pt idx="20">
                  <c:v>-84848.752077705634</c:v>
                </c:pt>
                <c:pt idx="21">
                  <c:v>-2247.007168705517</c:v>
                </c:pt>
                <c:pt idx="22">
                  <c:v>33216.096190231852</c:v>
                </c:pt>
                <c:pt idx="23">
                  <c:v>15763.265457478585</c:v>
                </c:pt>
                <c:pt idx="24">
                  <c:v>-28825.022886868916</c:v>
                </c:pt>
                <c:pt idx="25">
                  <c:v>-112680.30349482025</c:v>
                </c:pt>
                <c:pt idx="26">
                  <c:v>-19187.56667163712</c:v>
                </c:pt>
                <c:pt idx="27">
                  <c:v>-1982.2051082962425</c:v>
                </c:pt>
                <c:pt idx="28">
                  <c:v>-54597.565121964726</c:v>
                </c:pt>
                <c:pt idx="29">
                  <c:v>35273.884643438621</c:v>
                </c:pt>
                <c:pt idx="30">
                  <c:v>5064.9537055502879</c:v>
                </c:pt>
                <c:pt idx="31">
                  <c:v>-50092.283397609252</c:v>
                </c:pt>
                <c:pt idx="32">
                  <c:v>-99075.453786892351</c:v>
                </c:pt>
                <c:pt idx="33">
                  <c:v>-47329.614193545538</c:v>
                </c:pt>
                <c:pt idx="34">
                  <c:v>9811.4259448212106</c:v>
                </c:pt>
                <c:pt idx="35">
                  <c:v>-8535.2947134464048</c:v>
                </c:pt>
                <c:pt idx="36">
                  <c:v>42055.875067052781</c:v>
                </c:pt>
                <c:pt idx="37">
                  <c:v>-41249.791617452633</c:v>
                </c:pt>
                <c:pt idx="38">
                  <c:v>-12094.301091901609</c:v>
                </c:pt>
                <c:pt idx="39">
                  <c:v>-3967.3774898507399</c:v>
                </c:pt>
                <c:pt idx="40">
                  <c:v>4417.2622600748437</c:v>
                </c:pt>
                <c:pt idx="41">
                  <c:v>8801.1888409905368</c:v>
                </c:pt>
                <c:pt idx="42">
                  <c:v>69029.08785512601</c:v>
                </c:pt>
                <c:pt idx="43">
                  <c:v>4527.6321805616608</c:v>
                </c:pt>
                <c:pt idx="44">
                  <c:v>-119858.46516582719</c:v>
                </c:pt>
                <c:pt idx="45">
                  <c:v>-29424.765788684483</c:v>
                </c:pt>
                <c:pt idx="46">
                  <c:v>45989.753125274903</c:v>
                </c:pt>
                <c:pt idx="47">
                  <c:v>26186.059941890649</c:v>
                </c:pt>
                <c:pt idx="48">
                  <c:v>-43005.161184015567</c:v>
                </c:pt>
                <c:pt idx="49">
                  <c:v>3594.0575298904441</c:v>
                </c:pt>
                <c:pt idx="50">
                  <c:v>5119.67701850296</c:v>
                </c:pt>
                <c:pt idx="51">
                  <c:v>24134.723394281114</c:v>
                </c:pt>
                <c:pt idx="52">
                  <c:v>-99951.999509744695</c:v>
                </c:pt>
                <c:pt idx="53">
                  <c:v>22211.565001384588</c:v>
                </c:pt>
                <c:pt idx="54">
                  <c:v>31813.553961634985</c:v>
                </c:pt>
                <c:pt idx="55">
                  <c:v>-49662.841596194368</c:v>
                </c:pt>
                <c:pt idx="56">
                  <c:v>-10161.150369689916</c:v>
                </c:pt>
                <c:pt idx="57">
                  <c:v>-25124.737045928836</c:v>
                </c:pt>
                <c:pt idx="58">
                  <c:v>-51497.728718375205</c:v>
                </c:pt>
                <c:pt idx="59">
                  <c:v>-54496.372349109151</c:v>
                </c:pt>
                <c:pt idx="60">
                  <c:v>57951.797879582387</c:v>
                </c:pt>
                <c:pt idx="61">
                  <c:v>42882.596153215971</c:v>
                </c:pt>
                <c:pt idx="62">
                  <c:v>-11962.920377109898</c:v>
                </c:pt>
                <c:pt idx="63">
                  <c:v>41371.094150976976</c:v>
                </c:pt>
                <c:pt idx="64">
                  <c:v>-24625.628438642598</c:v>
                </c:pt>
                <c:pt idx="65">
                  <c:v>-22386.048004407203</c:v>
                </c:pt>
                <c:pt idx="66">
                  <c:v>-159545.34921086964</c:v>
                </c:pt>
                <c:pt idx="67">
                  <c:v>5163.1553148837993</c:v>
                </c:pt>
                <c:pt idx="68">
                  <c:v>81093.947258593515</c:v>
                </c:pt>
                <c:pt idx="69">
                  <c:v>-11348.700272688933</c:v>
                </c:pt>
                <c:pt idx="70">
                  <c:v>23900.138530391036</c:v>
                </c:pt>
                <c:pt idx="71">
                  <c:v>43893.202803671127</c:v>
                </c:pt>
                <c:pt idx="72">
                  <c:v>24286.882529946859</c:v>
                </c:pt>
                <c:pt idx="73">
                  <c:v>-56455.345427068882</c:v>
                </c:pt>
                <c:pt idx="74">
                  <c:v>92630.743504519342</c:v>
                </c:pt>
                <c:pt idx="75">
                  <c:v>-27963.210606254521</c:v>
                </c:pt>
                <c:pt idx="76">
                  <c:v>-10280.063729639282</c:v>
                </c:pt>
                <c:pt idx="77">
                  <c:v>42807.102380570839</c:v>
                </c:pt>
                <c:pt idx="78">
                  <c:v>51721.538853458012</c:v>
                </c:pt>
                <c:pt idx="79">
                  <c:v>-23075.104466554476</c:v>
                </c:pt>
                <c:pt idx="80">
                  <c:v>-39107.691414364264</c:v>
                </c:pt>
                <c:pt idx="81">
                  <c:v>33691.394678910729</c:v>
                </c:pt>
                <c:pt idx="82">
                  <c:v>64637.530529205338</c:v>
                </c:pt>
                <c:pt idx="83">
                  <c:v>368.90728751698043</c:v>
                </c:pt>
                <c:pt idx="84">
                  <c:v>-1410.3824697458185</c:v>
                </c:pt>
                <c:pt idx="85">
                  <c:v>-36538.832739606267</c:v>
                </c:pt>
                <c:pt idx="86">
                  <c:v>-15777.861594122718</c:v>
                </c:pt>
                <c:pt idx="87">
                  <c:v>-16435.163458375144</c:v>
                </c:pt>
                <c:pt idx="88">
                  <c:v>21755.457781846984</c:v>
                </c:pt>
                <c:pt idx="89">
                  <c:v>-145887.49825806229</c:v>
                </c:pt>
                <c:pt idx="90">
                  <c:v>2237.4343256924767</c:v>
                </c:pt>
                <c:pt idx="91">
                  <c:v>14437.798364212271</c:v>
                </c:pt>
                <c:pt idx="92">
                  <c:v>-9434.9598424386932</c:v>
                </c:pt>
                <c:pt idx="93">
                  <c:v>50092.299131099135</c:v>
                </c:pt>
                <c:pt idx="94">
                  <c:v>56673.539790682495</c:v>
                </c:pt>
                <c:pt idx="95">
                  <c:v>-17922.169680106104</c:v>
                </c:pt>
                <c:pt idx="96">
                  <c:v>-22456.368847186794</c:v>
                </c:pt>
                <c:pt idx="97">
                  <c:v>60317.828572276398</c:v>
                </c:pt>
                <c:pt idx="98">
                  <c:v>-22505.275326767354</c:v>
                </c:pt>
                <c:pt idx="99">
                  <c:v>7881.3132524674293</c:v>
                </c:pt>
                <c:pt idx="100">
                  <c:v>41162.478323775344</c:v>
                </c:pt>
                <c:pt idx="101">
                  <c:v>-44286.779506593593</c:v>
                </c:pt>
                <c:pt idx="102">
                  <c:v>27523.796681808657</c:v>
                </c:pt>
                <c:pt idx="103">
                  <c:v>84798.177160112187</c:v>
                </c:pt>
                <c:pt idx="104">
                  <c:v>38910.187828109134</c:v>
                </c:pt>
                <c:pt idx="105">
                  <c:v>-3073.8266053253319</c:v>
                </c:pt>
                <c:pt idx="106">
                  <c:v>76768.141347562429</c:v>
                </c:pt>
                <c:pt idx="107">
                  <c:v>-1939.1162745676702</c:v>
                </c:pt>
                <c:pt idx="108">
                  <c:v>36794.303905852372</c:v>
                </c:pt>
                <c:pt idx="109">
                  <c:v>16947.442180440761</c:v>
                </c:pt>
                <c:pt idx="110">
                  <c:v>-23166.90868565999</c:v>
                </c:pt>
                <c:pt idx="111">
                  <c:v>112722.72216396674</c:v>
                </c:pt>
                <c:pt idx="112">
                  <c:v>38935.058477346203</c:v>
                </c:pt>
                <c:pt idx="113">
                  <c:v>33051.941057308461</c:v>
                </c:pt>
                <c:pt idx="114">
                  <c:v>-50182.487019258668</c:v>
                </c:pt>
                <c:pt idx="115">
                  <c:v>-41075.971891315421</c:v>
                </c:pt>
                <c:pt idx="116">
                  <c:v>47.99631519196555</c:v>
                </c:pt>
                <c:pt idx="117">
                  <c:v>87296.097406457993</c:v>
                </c:pt>
                <c:pt idx="118">
                  <c:v>-71310.480207910878</c:v>
                </c:pt>
                <c:pt idx="119">
                  <c:v>-4975.8186270925216</c:v>
                </c:pt>
                <c:pt idx="120">
                  <c:v>-53482.204880068835</c:v>
                </c:pt>
                <c:pt idx="121">
                  <c:v>36026.783350614714</c:v>
                </c:pt>
                <c:pt idx="122">
                  <c:v>-32454.983670084155</c:v>
                </c:pt>
                <c:pt idx="123">
                  <c:v>-64254.582701205742</c:v>
                </c:pt>
                <c:pt idx="124">
                  <c:v>76285.972583058174</c:v>
                </c:pt>
                <c:pt idx="125">
                  <c:v>-21552.785960535868</c:v>
                </c:pt>
                <c:pt idx="126">
                  <c:v>39927.543372862041</c:v>
                </c:pt>
                <c:pt idx="127">
                  <c:v>-20106.380810166826</c:v>
                </c:pt>
                <c:pt idx="128">
                  <c:v>21931.25204198854</c:v>
                </c:pt>
                <c:pt idx="129">
                  <c:v>2609.2773674819618</c:v>
                </c:pt>
                <c:pt idx="130">
                  <c:v>-67035.235336851794</c:v>
                </c:pt>
                <c:pt idx="131">
                  <c:v>-17167.500484380987</c:v>
                </c:pt>
                <c:pt idx="132">
                  <c:v>-54908.016204070649</c:v>
                </c:pt>
                <c:pt idx="133">
                  <c:v>-49454.116014564352</c:v>
                </c:pt>
                <c:pt idx="134">
                  <c:v>-9712.9947791201994</c:v>
                </c:pt>
                <c:pt idx="135">
                  <c:v>-20223.005314715789</c:v>
                </c:pt>
                <c:pt idx="136">
                  <c:v>-74463.764339236193</c:v>
                </c:pt>
                <c:pt idx="137">
                  <c:v>36369.103639803943</c:v>
                </c:pt>
                <c:pt idx="138">
                  <c:v>75120.106078310753</c:v>
                </c:pt>
                <c:pt idx="139">
                  <c:v>28361.153977255453</c:v>
                </c:pt>
                <c:pt idx="140">
                  <c:v>37765.580174423987</c:v>
                </c:pt>
                <c:pt idx="141">
                  <c:v>7894.2769953686511</c:v>
                </c:pt>
                <c:pt idx="142">
                  <c:v>37405.885216745897</c:v>
                </c:pt>
                <c:pt idx="143">
                  <c:v>14670.848274462973</c:v>
                </c:pt>
                <c:pt idx="144">
                  <c:v>-16303.097614999395</c:v>
                </c:pt>
                <c:pt idx="145">
                  <c:v>-13593.497124249232</c:v>
                </c:pt>
                <c:pt idx="146">
                  <c:v>16090.198541079648</c:v>
                </c:pt>
                <c:pt idx="147">
                  <c:v>18741.353853696026</c:v>
                </c:pt>
                <c:pt idx="148">
                  <c:v>-40890.951395024313</c:v>
                </c:pt>
                <c:pt idx="149">
                  <c:v>-10616.831130983424</c:v>
                </c:pt>
                <c:pt idx="150">
                  <c:v>22760.745666746167</c:v>
                </c:pt>
                <c:pt idx="151">
                  <c:v>10980.534825027222</c:v>
                </c:pt>
                <c:pt idx="152">
                  <c:v>-15683.210184405791</c:v>
                </c:pt>
                <c:pt idx="153">
                  <c:v>13372.198344959761</c:v>
                </c:pt>
                <c:pt idx="154">
                  <c:v>-39937.166258573881</c:v>
                </c:pt>
                <c:pt idx="155">
                  <c:v>-384.22638123715296</c:v>
                </c:pt>
                <c:pt idx="156">
                  <c:v>-14150.102509110584</c:v>
                </c:pt>
                <c:pt idx="157">
                  <c:v>-27767.950229475158</c:v>
                </c:pt>
                <c:pt idx="158">
                  <c:v>70278.728552476503</c:v>
                </c:pt>
                <c:pt idx="159">
                  <c:v>60131.600393095636</c:v>
                </c:pt>
                <c:pt idx="160">
                  <c:v>-56426.036263536895</c:v>
                </c:pt>
                <c:pt idx="161">
                  <c:v>66877.512257629074</c:v>
                </c:pt>
                <c:pt idx="162">
                  <c:v>-17834.972843340947</c:v>
                </c:pt>
                <c:pt idx="163">
                  <c:v>-17561.167302464019</c:v>
                </c:pt>
                <c:pt idx="164">
                  <c:v>36728.768946809345</c:v>
                </c:pt>
                <c:pt idx="165">
                  <c:v>-30203.475982093718</c:v>
                </c:pt>
                <c:pt idx="166">
                  <c:v>-13448.978296396905</c:v>
                </c:pt>
                <c:pt idx="167">
                  <c:v>2525.6097810168285</c:v>
                </c:pt>
                <c:pt idx="168">
                  <c:v>-25288.935720009264</c:v>
                </c:pt>
                <c:pt idx="169">
                  <c:v>-69310.68791639444</c:v>
                </c:pt>
                <c:pt idx="170">
                  <c:v>40682.273673473625</c:v>
                </c:pt>
                <c:pt idx="171">
                  <c:v>922.53467411349993</c:v>
                </c:pt>
                <c:pt idx="172">
                  <c:v>33681.170755378553</c:v>
                </c:pt>
                <c:pt idx="173">
                  <c:v>-7783.8649610700086</c:v>
                </c:pt>
                <c:pt idx="174">
                  <c:v>-2795.2352716417518</c:v>
                </c:pt>
                <c:pt idx="175">
                  <c:v>8059.6060102516785</c:v>
                </c:pt>
                <c:pt idx="176">
                  <c:v>-1982.4565074355341</c:v>
                </c:pt>
                <c:pt idx="177">
                  <c:v>49632.523313343991</c:v>
                </c:pt>
                <c:pt idx="178">
                  <c:v>7826.9726684617344</c:v>
                </c:pt>
                <c:pt idx="179">
                  <c:v>34001.563883399358</c:v>
                </c:pt>
                <c:pt idx="180">
                  <c:v>4350.1648900639266</c:v>
                </c:pt>
                <c:pt idx="181">
                  <c:v>11308.628579103388</c:v>
                </c:pt>
                <c:pt idx="182">
                  <c:v>6598.4472384188557</c:v>
                </c:pt>
                <c:pt idx="183">
                  <c:v>7271.4418750627665</c:v>
                </c:pt>
                <c:pt idx="184">
                  <c:v>-23486.627724211779</c:v>
                </c:pt>
                <c:pt idx="185">
                  <c:v>17683.092780012754</c:v>
                </c:pt>
                <c:pt idx="186">
                  <c:v>59791.609200068284</c:v>
                </c:pt>
                <c:pt idx="187">
                  <c:v>3507.09281033359</c:v>
                </c:pt>
                <c:pt idx="188">
                  <c:v>37546.818455140456</c:v>
                </c:pt>
                <c:pt idx="189">
                  <c:v>14156.74429058691</c:v>
                </c:pt>
                <c:pt idx="190">
                  <c:v>-5521.701050160802</c:v>
                </c:pt>
                <c:pt idx="191">
                  <c:v>-48068.02695834206</c:v>
                </c:pt>
                <c:pt idx="192">
                  <c:v>-32846.168742094422</c:v>
                </c:pt>
                <c:pt idx="193">
                  <c:v>4933.7345669901697</c:v>
                </c:pt>
                <c:pt idx="194">
                  <c:v>8145.1424212144921</c:v>
                </c:pt>
                <c:pt idx="195">
                  <c:v>-74482.389024564705</c:v>
                </c:pt>
                <c:pt idx="196">
                  <c:v>58391.862800903735</c:v>
                </c:pt>
                <c:pt idx="197">
                  <c:v>-28701.85991488467</c:v>
                </c:pt>
                <c:pt idx="198">
                  <c:v>-16726.406184256542</c:v>
                </c:pt>
                <c:pt idx="199">
                  <c:v>89536.056512310286</c:v>
                </c:pt>
                <c:pt idx="200">
                  <c:v>-31949.59957091033</c:v>
                </c:pt>
                <c:pt idx="201">
                  <c:v>74552.097428550711</c:v>
                </c:pt>
                <c:pt idx="202">
                  <c:v>-70619.376423915499</c:v>
                </c:pt>
                <c:pt idx="203">
                  <c:v>-37447.365648613311</c:v>
                </c:pt>
                <c:pt idx="204">
                  <c:v>-17020.691374868155</c:v>
                </c:pt>
                <c:pt idx="205">
                  <c:v>55472.542886759504</c:v>
                </c:pt>
                <c:pt idx="206">
                  <c:v>-61774.016211703769</c:v>
                </c:pt>
                <c:pt idx="207">
                  <c:v>-79251.394279664033</c:v>
                </c:pt>
                <c:pt idx="208">
                  <c:v>14814.93295536947</c:v>
                </c:pt>
                <c:pt idx="209">
                  <c:v>-65940.620952712488</c:v>
                </c:pt>
                <c:pt idx="210">
                  <c:v>-12783.478901439114</c:v>
                </c:pt>
                <c:pt idx="211">
                  <c:v>-9727.8997977415565</c:v>
                </c:pt>
                <c:pt idx="212">
                  <c:v>36152.103286266443</c:v>
                </c:pt>
                <c:pt idx="213">
                  <c:v>43173.495662944741</c:v>
                </c:pt>
                <c:pt idx="214">
                  <c:v>-14175.746289450326</c:v>
                </c:pt>
                <c:pt idx="215">
                  <c:v>4977.6160121682333</c:v>
                </c:pt>
                <c:pt idx="216">
                  <c:v>21744.13579642179</c:v>
                </c:pt>
                <c:pt idx="217">
                  <c:v>-11361.176274736063</c:v>
                </c:pt>
                <c:pt idx="218">
                  <c:v>40672.399245483102</c:v>
                </c:pt>
                <c:pt idx="219">
                  <c:v>-5473.3414625355508</c:v>
                </c:pt>
                <c:pt idx="220">
                  <c:v>15141.876196693745</c:v>
                </c:pt>
                <c:pt idx="221">
                  <c:v>7138.8004373770673</c:v>
                </c:pt>
                <c:pt idx="222">
                  <c:v>5254.4900530084269</c:v>
                </c:pt>
                <c:pt idx="223">
                  <c:v>-31905.052277921932</c:v>
                </c:pt>
                <c:pt idx="224">
                  <c:v>40571.147932858439</c:v>
                </c:pt>
                <c:pt idx="225">
                  <c:v>12306.40021869872</c:v>
                </c:pt>
                <c:pt idx="226">
                  <c:v>-21476.731081700651</c:v>
                </c:pt>
                <c:pt idx="227">
                  <c:v>22258.791594973474</c:v>
                </c:pt>
                <c:pt idx="228">
                  <c:v>-50818.69585107686</c:v>
                </c:pt>
                <c:pt idx="229">
                  <c:v>57671.717775837751</c:v>
                </c:pt>
                <c:pt idx="230">
                  <c:v>-32197.260877824156</c:v>
                </c:pt>
                <c:pt idx="231">
                  <c:v>26135.095451347879</c:v>
                </c:pt>
                <c:pt idx="232">
                  <c:v>46842.895974721643</c:v>
                </c:pt>
                <c:pt idx="233">
                  <c:v>83826.613294604351</c:v>
                </c:pt>
                <c:pt idx="234">
                  <c:v>8362.8059956963407</c:v>
                </c:pt>
                <c:pt idx="235">
                  <c:v>8085.7998448831495</c:v>
                </c:pt>
                <c:pt idx="236">
                  <c:v>-82033.971156941261</c:v>
                </c:pt>
                <c:pt idx="237">
                  <c:v>-23233.9893119185</c:v>
                </c:pt>
                <c:pt idx="238">
                  <c:v>-13314.499488121481</c:v>
                </c:pt>
                <c:pt idx="239">
                  <c:v>3965.5503800655715</c:v>
                </c:pt>
                <c:pt idx="240">
                  <c:v>25016.265670952736</c:v>
                </c:pt>
                <c:pt idx="241">
                  <c:v>7251.1897042765049</c:v>
                </c:pt>
                <c:pt idx="242">
                  <c:v>-5193.563538994058</c:v>
                </c:pt>
                <c:pt idx="243">
                  <c:v>-10477.961042018491</c:v>
                </c:pt>
                <c:pt idx="244">
                  <c:v>24862.441537567298</c:v>
                </c:pt>
                <c:pt idx="245">
                  <c:v>11580.237017213833</c:v>
                </c:pt>
                <c:pt idx="246">
                  <c:v>-16678.138792572776</c:v>
                </c:pt>
                <c:pt idx="247">
                  <c:v>3948.8317629219964</c:v>
                </c:pt>
                <c:pt idx="248">
                  <c:v>18285.774543538806</c:v>
                </c:pt>
                <c:pt idx="249">
                  <c:v>-8463.9945273931371</c:v>
                </c:pt>
                <c:pt idx="250">
                  <c:v>5350.5959814187372</c:v>
                </c:pt>
                <c:pt idx="251">
                  <c:v>17375.545140076312</c:v>
                </c:pt>
                <c:pt idx="252">
                  <c:v>-19665.83956971881</c:v>
                </c:pt>
                <c:pt idx="253">
                  <c:v>70181.177805456799</c:v>
                </c:pt>
                <c:pt idx="254">
                  <c:v>17019.515658253804</c:v>
                </c:pt>
                <c:pt idx="255">
                  <c:v>-59357.220397502067</c:v>
                </c:pt>
                <c:pt idx="256">
                  <c:v>66620.223475624691</c:v>
                </c:pt>
                <c:pt idx="257">
                  <c:v>2550.0690936011961</c:v>
                </c:pt>
                <c:pt idx="258">
                  <c:v>-14262.861586658517</c:v>
                </c:pt>
                <c:pt idx="259">
                  <c:v>40340.829162560403</c:v>
                </c:pt>
                <c:pt idx="260">
                  <c:v>-424.0676527878968</c:v>
                </c:pt>
                <c:pt idx="261">
                  <c:v>-6525.3598302601604</c:v>
                </c:pt>
                <c:pt idx="262">
                  <c:v>58531.449893885525</c:v>
                </c:pt>
                <c:pt idx="263">
                  <c:v>21193.847606689786</c:v>
                </c:pt>
                <c:pt idx="264">
                  <c:v>-9871.8726875142893</c:v>
                </c:pt>
                <c:pt idx="265">
                  <c:v>38649.283422643784</c:v>
                </c:pt>
                <c:pt idx="266">
                  <c:v>30923.901169023244</c:v>
                </c:pt>
                <c:pt idx="267">
                  <c:v>41432.320506498683</c:v>
                </c:pt>
                <c:pt idx="268">
                  <c:v>-79808.338610787992</c:v>
                </c:pt>
                <c:pt idx="269">
                  <c:v>50476.932587645366</c:v>
                </c:pt>
                <c:pt idx="270">
                  <c:v>-5939.7326649073511</c:v>
                </c:pt>
                <c:pt idx="271">
                  <c:v>-71428.350634973031</c:v>
                </c:pt>
                <c:pt idx="272">
                  <c:v>5221.2574555516476</c:v>
                </c:pt>
                <c:pt idx="273">
                  <c:v>41528.14588468289</c:v>
                </c:pt>
                <c:pt idx="274">
                  <c:v>-8997.2383942551678</c:v>
                </c:pt>
                <c:pt idx="275">
                  <c:v>91668.572257052874</c:v>
                </c:pt>
                <c:pt idx="276">
                  <c:v>-63679.38358230528</c:v>
                </c:pt>
                <c:pt idx="277">
                  <c:v>32899.981247370946</c:v>
                </c:pt>
                <c:pt idx="278">
                  <c:v>9550.190275053028</c:v>
                </c:pt>
                <c:pt idx="279">
                  <c:v>-12997.859893459245</c:v>
                </c:pt>
                <c:pt idx="280">
                  <c:v>-51492.096723981551</c:v>
                </c:pt>
                <c:pt idx="281">
                  <c:v>-36995.910762457526</c:v>
                </c:pt>
                <c:pt idx="282">
                  <c:v>13811.608922852087</c:v>
                </c:pt>
                <c:pt idx="283">
                  <c:v>-8999.4342753458186</c:v>
                </c:pt>
                <c:pt idx="284">
                  <c:v>-12562.979553747107</c:v>
                </c:pt>
                <c:pt idx="285">
                  <c:v>-3323.3819294533459</c:v>
                </c:pt>
                <c:pt idx="286">
                  <c:v>8905.5790149988607</c:v>
                </c:pt>
                <c:pt idx="287">
                  <c:v>-13023.745759743499</c:v>
                </c:pt>
                <c:pt idx="288">
                  <c:v>50188.250314401579</c:v>
                </c:pt>
                <c:pt idx="289">
                  <c:v>-10083.798959154403</c:v>
                </c:pt>
                <c:pt idx="290">
                  <c:v>106192.70634373149</c:v>
                </c:pt>
                <c:pt idx="291">
                  <c:v>-660.51106072228868</c:v>
                </c:pt>
                <c:pt idx="292">
                  <c:v>-49842.176765253185</c:v>
                </c:pt>
                <c:pt idx="293">
                  <c:v>637.0166488212999</c:v>
                </c:pt>
                <c:pt idx="294">
                  <c:v>-9594.7625466982718</c:v>
                </c:pt>
                <c:pt idx="295">
                  <c:v>12161.866473145375</c:v>
                </c:pt>
                <c:pt idx="296">
                  <c:v>-7725.7485264360439</c:v>
                </c:pt>
                <c:pt idx="297">
                  <c:v>80598.237773938221</c:v>
                </c:pt>
                <c:pt idx="298">
                  <c:v>-21437.678101157304</c:v>
                </c:pt>
                <c:pt idx="299">
                  <c:v>-69871.425121836306</c:v>
                </c:pt>
                <c:pt idx="300">
                  <c:v>-24955.196922614006</c:v>
                </c:pt>
                <c:pt idx="301">
                  <c:v>-6421.6194239672041</c:v>
                </c:pt>
                <c:pt idx="302">
                  <c:v>-18634.526272425195</c:v>
                </c:pt>
                <c:pt idx="303">
                  <c:v>51383.354671249981</c:v>
                </c:pt>
                <c:pt idx="304">
                  <c:v>41406.451890726923</c:v>
                </c:pt>
                <c:pt idx="305">
                  <c:v>-93480.754941086867</c:v>
                </c:pt>
                <c:pt idx="306">
                  <c:v>53988.814320102101</c:v>
                </c:pt>
                <c:pt idx="307">
                  <c:v>-49346.588811333291</c:v>
                </c:pt>
                <c:pt idx="308">
                  <c:v>-22282.097101375228</c:v>
                </c:pt>
                <c:pt idx="309">
                  <c:v>-48515.608121502097</c:v>
                </c:pt>
                <c:pt idx="310">
                  <c:v>-20328.170178774977</c:v>
                </c:pt>
                <c:pt idx="311">
                  <c:v>12772.966173886089</c:v>
                </c:pt>
                <c:pt idx="312">
                  <c:v>39492.690647941316</c:v>
                </c:pt>
                <c:pt idx="313">
                  <c:v>-24617.046396170976</c:v>
                </c:pt>
                <c:pt idx="314">
                  <c:v>33445.537383546471</c:v>
                </c:pt>
                <c:pt idx="315">
                  <c:v>33363.594467651565</c:v>
                </c:pt>
                <c:pt idx="316">
                  <c:v>-38789.424119110336</c:v>
                </c:pt>
                <c:pt idx="317">
                  <c:v>24191.533265398582</c:v>
                </c:pt>
                <c:pt idx="318">
                  <c:v>11020.303544730181</c:v>
                </c:pt>
                <c:pt idx="319">
                  <c:v>-21112.599669000367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0-2A4A-B01F-4885DC655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40991"/>
        <c:axId val="89735615"/>
      </c:scatterChart>
      <c:valAx>
        <c:axId val="89740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customer_rating</a:t>
                </a:r>
              </a:p>
            </c:rich>
          </c:tx>
          <c:overlay val="0"/>
        </c:title>
        <c:majorTickMark val="out"/>
        <c:minorTickMark val="none"/>
        <c:tickLblPos val="nextTo"/>
        <c:crossAx val="89735615"/>
        <c:crosses val="autoZero"/>
        <c:crossBetween val="midCat"/>
      </c:valAx>
      <c:valAx>
        <c:axId val="89735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74099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reg_West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'MR Output'!$I$2:$I$321</c:f>
              <c:strCache>
                <c:ptCount val="27"/>
                <c:pt idx="14">
                  <c:v>Upper 95.0%</c:v>
                </c:pt>
                <c:pt idx="15">
                  <c:v>173175.5338</c:v>
                </c:pt>
                <c:pt idx="16">
                  <c:v>1.447672516</c:v>
                </c:pt>
                <c:pt idx="17">
                  <c:v>35.99848401</c:v>
                </c:pt>
                <c:pt idx="18">
                  <c:v>25990.47646</c:v>
                </c:pt>
                <c:pt idx="19">
                  <c:v>390339.752</c:v>
                </c:pt>
                <c:pt idx="20">
                  <c:v>22961.71958</c:v>
                </c:pt>
                <c:pt idx="21">
                  <c:v>30416.72105</c:v>
                </c:pt>
                <c:pt idx="22">
                  <c:v>20020.01315</c:v>
                </c:pt>
                <c:pt idx="23">
                  <c:v>32729.1043</c:v>
                </c:pt>
                <c:pt idx="24">
                  <c:v>1762.905949</c:v>
                </c:pt>
                <c:pt idx="25">
                  <c:v>-16070.63482</c:v>
                </c:pt>
                <c:pt idx="26">
                  <c:v>31807.22022</c:v>
                </c:pt>
              </c:strCache>
            </c:strRef>
          </c:xVal>
          <c:yVal>
            <c:numRef>
              <c:f>'MR Output'!$C$35:$C$354</c:f>
              <c:numCache>
                <c:formatCode>General</c:formatCode>
                <c:ptCount val="320"/>
                <c:pt idx="0">
                  <c:v>-23396.626781843137</c:v>
                </c:pt>
                <c:pt idx="1">
                  <c:v>-40589.274646520149</c:v>
                </c:pt>
                <c:pt idx="2">
                  <c:v>-54738.979435316287</c:v>
                </c:pt>
                <c:pt idx="3">
                  <c:v>-80673.972340586013</c:v>
                </c:pt>
                <c:pt idx="4">
                  <c:v>-48983.906844820362</c:v>
                </c:pt>
                <c:pt idx="5">
                  <c:v>-21788.994438463938</c:v>
                </c:pt>
                <c:pt idx="6">
                  <c:v>16106.574343493208</c:v>
                </c:pt>
                <c:pt idx="7">
                  <c:v>74722.573556983261</c:v>
                </c:pt>
                <c:pt idx="8">
                  <c:v>65114.694738529157</c:v>
                </c:pt>
                <c:pt idx="9">
                  <c:v>-24713.516222127946</c:v>
                </c:pt>
                <c:pt idx="10">
                  <c:v>-35078.386815394508</c:v>
                </c:pt>
                <c:pt idx="11">
                  <c:v>41587.256043890025</c:v>
                </c:pt>
                <c:pt idx="12">
                  <c:v>54466.515269455151</c:v>
                </c:pt>
                <c:pt idx="13">
                  <c:v>-38824.672632375965</c:v>
                </c:pt>
                <c:pt idx="14">
                  <c:v>7490.529813800822</c:v>
                </c:pt>
                <c:pt idx="15">
                  <c:v>31047.402063647634</c:v>
                </c:pt>
                <c:pt idx="16">
                  <c:v>-14466.638574450044</c:v>
                </c:pt>
                <c:pt idx="17">
                  <c:v>-17967.734839509358</c:v>
                </c:pt>
                <c:pt idx="18">
                  <c:v>-20588.291941397823</c:v>
                </c:pt>
                <c:pt idx="19">
                  <c:v>-4500.2829324092017</c:v>
                </c:pt>
                <c:pt idx="20">
                  <c:v>-84848.752077705634</c:v>
                </c:pt>
                <c:pt idx="21">
                  <c:v>-2247.007168705517</c:v>
                </c:pt>
                <c:pt idx="22">
                  <c:v>33216.096190231852</c:v>
                </c:pt>
                <c:pt idx="23">
                  <c:v>15763.265457478585</c:v>
                </c:pt>
                <c:pt idx="24">
                  <c:v>-28825.022886868916</c:v>
                </c:pt>
                <c:pt idx="25">
                  <c:v>-112680.30349482025</c:v>
                </c:pt>
                <c:pt idx="26">
                  <c:v>-19187.56667163712</c:v>
                </c:pt>
                <c:pt idx="27">
                  <c:v>-1982.2051082962425</c:v>
                </c:pt>
                <c:pt idx="28">
                  <c:v>-54597.565121964726</c:v>
                </c:pt>
                <c:pt idx="29">
                  <c:v>35273.884643438621</c:v>
                </c:pt>
                <c:pt idx="30">
                  <c:v>5064.9537055502879</c:v>
                </c:pt>
                <c:pt idx="31">
                  <c:v>-50092.283397609252</c:v>
                </c:pt>
                <c:pt idx="32">
                  <c:v>-99075.453786892351</c:v>
                </c:pt>
                <c:pt idx="33">
                  <c:v>-47329.614193545538</c:v>
                </c:pt>
                <c:pt idx="34">
                  <c:v>9811.4259448212106</c:v>
                </c:pt>
                <c:pt idx="35">
                  <c:v>-8535.2947134464048</c:v>
                </c:pt>
                <c:pt idx="36">
                  <c:v>42055.875067052781</c:v>
                </c:pt>
                <c:pt idx="37">
                  <c:v>-41249.791617452633</c:v>
                </c:pt>
                <c:pt idx="38">
                  <c:v>-12094.301091901609</c:v>
                </c:pt>
                <c:pt idx="39">
                  <c:v>-3967.3774898507399</c:v>
                </c:pt>
                <c:pt idx="40">
                  <c:v>4417.2622600748437</c:v>
                </c:pt>
                <c:pt idx="41">
                  <c:v>8801.1888409905368</c:v>
                </c:pt>
                <c:pt idx="42">
                  <c:v>69029.08785512601</c:v>
                </c:pt>
                <c:pt idx="43">
                  <c:v>4527.6321805616608</c:v>
                </c:pt>
                <c:pt idx="44">
                  <c:v>-119858.46516582719</c:v>
                </c:pt>
                <c:pt idx="45">
                  <c:v>-29424.765788684483</c:v>
                </c:pt>
                <c:pt idx="46">
                  <c:v>45989.753125274903</c:v>
                </c:pt>
                <c:pt idx="47">
                  <c:v>26186.059941890649</c:v>
                </c:pt>
                <c:pt idx="48">
                  <c:v>-43005.161184015567</c:v>
                </c:pt>
                <c:pt idx="49">
                  <c:v>3594.0575298904441</c:v>
                </c:pt>
                <c:pt idx="50">
                  <c:v>5119.67701850296</c:v>
                </c:pt>
                <c:pt idx="51">
                  <c:v>24134.723394281114</c:v>
                </c:pt>
                <c:pt idx="52">
                  <c:v>-99951.999509744695</c:v>
                </c:pt>
                <c:pt idx="53">
                  <c:v>22211.565001384588</c:v>
                </c:pt>
                <c:pt idx="54">
                  <c:v>31813.553961634985</c:v>
                </c:pt>
                <c:pt idx="55">
                  <c:v>-49662.841596194368</c:v>
                </c:pt>
                <c:pt idx="56">
                  <c:v>-10161.150369689916</c:v>
                </c:pt>
                <c:pt idx="57">
                  <c:v>-25124.737045928836</c:v>
                </c:pt>
                <c:pt idx="58">
                  <c:v>-51497.728718375205</c:v>
                </c:pt>
                <c:pt idx="59">
                  <c:v>-54496.372349109151</c:v>
                </c:pt>
                <c:pt idx="60">
                  <c:v>57951.797879582387</c:v>
                </c:pt>
                <c:pt idx="61">
                  <c:v>42882.596153215971</c:v>
                </c:pt>
                <c:pt idx="62">
                  <c:v>-11962.920377109898</c:v>
                </c:pt>
                <c:pt idx="63">
                  <c:v>41371.094150976976</c:v>
                </c:pt>
                <c:pt idx="64">
                  <c:v>-24625.628438642598</c:v>
                </c:pt>
                <c:pt idx="65">
                  <c:v>-22386.048004407203</c:v>
                </c:pt>
                <c:pt idx="66">
                  <c:v>-159545.34921086964</c:v>
                </c:pt>
                <c:pt idx="67">
                  <c:v>5163.1553148837993</c:v>
                </c:pt>
                <c:pt idx="68">
                  <c:v>81093.947258593515</c:v>
                </c:pt>
                <c:pt idx="69">
                  <c:v>-11348.700272688933</c:v>
                </c:pt>
                <c:pt idx="70">
                  <c:v>23900.138530391036</c:v>
                </c:pt>
                <c:pt idx="71">
                  <c:v>43893.202803671127</c:v>
                </c:pt>
                <c:pt idx="72">
                  <c:v>24286.882529946859</c:v>
                </c:pt>
                <c:pt idx="73">
                  <c:v>-56455.345427068882</c:v>
                </c:pt>
                <c:pt idx="74">
                  <c:v>92630.743504519342</c:v>
                </c:pt>
                <c:pt idx="75">
                  <c:v>-27963.210606254521</c:v>
                </c:pt>
                <c:pt idx="76">
                  <c:v>-10280.063729639282</c:v>
                </c:pt>
                <c:pt idx="77">
                  <c:v>42807.102380570839</c:v>
                </c:pt>
                <c:pt idx="78">
                  <c:v>51721.538853458012</c:v>
                </c:pt>
                <c:pt idx="79">
                  <c:v>-23075.104466554476</c:v>
                </c:pt>
                <c:pt idx="80">
                  <c:v>-39107.691414364264</c:v>
                </c:pt>
                <c:pt idx="81">
                  <c:v>33691.394678910729</c:v>
                </c:pt>
                <c:pt idx="82">
                  <c:v>64637.530529205338</c:v>
                </c:pt>
                <c:pt idx="83">
                  <c:v>368.90728751698043</c:v>
                </c:pt>
                <c:pt idx="84">
                  <c:v>-1410.3824697458185</c:v>
                </c:pt>
                <c:pt idx="85">
                  <c:v>-36538.832739606267</c:v>
                </c:pt>
                <c:pt idx="86">
                  <c:v>-15777.861594122718</c:v>
                </c:pt>
                <c:pt idx="87">
                  <c:v>-16435.163458375144</c:v>
                </c:pt>
                <c:pt idx="88">
                  <c:v>21755.457781846984</c:v>
                </c:pt>
                <c:pt idx="89">
                  <c:v>-145887.49825806229</c:v>
                </c:pt>
                <c:pt idx="90">
                  <c:v>2237.4343256924767</c:v>
                </c:pt>
                <c:pt idx="91">
                  <c:v>14437.798364212271</c:v>
                </c:pt>
                <c:pt idx="92">
                  <c:v>-9434.9598424386932</c:v>
                </c:pt>
                <c:pt idx="93">
                  <c:v>50092.299131099135</c:v>
                </c:pt>
                <c:pt idx="94">
                  <c:v>56673.539790682495</c:v>
                </c:pt>
                <c:pt idx="95">
                  <c:v>-17922.169680106104</c:v>
                </c:pt>
                <c:pt idx="96">
                  <c:v>-22456.368847186794</c:v>
                </c:pt>
                <c:pt idx="97">
                  <c:v>60317.828572276398</c:v>
                </c:pt>
                <c:pt idx="98">
                  <c:v>-22505.275326767354</c:v>
                </c:pt>
                <c:pt idx="99">
                  <c:v>7881.3132524674293</c:v>
                </c:pt>
                <c:pt idx="100">
                  <c:v>41162.478323775344</c:v>
                </c:pt>
                <c:pt idx="101">
                  <c:v>-44286.779506593593</c:v>
                </c:pt>
                <c:pt idx="102">
                  <c:v>27523.796681808657</c:v>
                </c:pt>
                <c:pt idx="103">
                  <c:v>84798.177160112187</c:v>
                </c:pt>
                <c:pt idx="104">
                  <c:v>38910.187828109134</c:v>
                </c:pt>
                <c:pt idx="105">
                  <c:v>-3073.8266053253319</c:v>
                </c:pt>
                <c:pt idx="106">
                  <c:v>76768.141347562429</c:v>
                </c:pt>
                <c:pt idx="107">
                  <c:v>-1939.1162745676702</c:v>
                </c:pt>
                <c:pt idx="108">
                  <c:v>36794.303905852372</c:v>
                </c:pt>
                <c:pt idx="109">
                  <c:v>16947.442180440761</c:v>
                </c:pt>
                <c:pt idx="110">
                  <c:v>-23166.90868565999</c:v>
                </c:pt>
                <c:pt idx="111">
                  <c:v>112722.72216396674</c:v>
                </c:pt>
                <c:pt idx="112">
                  <c:v>38935.058477346203</c:v>
                </c:pt>
                <c:pt idx="113">
                  <c:v>33051.941057308461</c:v>
                </c:pt>
                <c:pt idx="114">
                  <c:v>-50182.487019258668</c:v>
                </c:pt>
                <c:pt idx="115">
                  <c:v>-41075.971891315421</c:v>
                </c:pt>
                <c:pt idx="116">
                  <c:v>47.99631519196555</c:v>
                </c:pt>
                <c:pt idx="117">
                  <c:v>87296.097406457993</c:v>
                </c:pt>
                <c:pt idx="118">
                  <c:v>-71310.480207910878</c:v>
                </c:pt>
                <c:pt idx="119">
                  <c:v>-4975.8186270925216</c:v>
                </c:pt>
                <c:pt idx="120">
                  <c:v>-53482.204880068835</c:v>
                </c:pt>
                <c:pt idx="121">
                  <c:v>36026.783350614714</c:v>
                </c:pt>
                <c:pt idx="122">
                  <c:v>-32454.983670084155</c:v>
                </c:pt>
                <c:pt idx="123">
                  <c:v>-64254.582701205742</c:v>
                </c:pt>
                <c:pt idx="124">
                  <c:v>76285.972583058174</c:v>
                </c:pt>
                <c:pt idx="125">
                  <c:v>-21552.785960535868</c:v>
                </c:pt>
                <c:pt idx="126">
                  <c:v>39927.543372862041</c:v>
                </c:pt>
                <c:pt idx="127">
                  <c:v>-20106.380810166826</c:v>
                </c:pt>
                <c:pt idx="128">
                  <c:v>21931.25204198854</c:v>
                </c:pt>
                <c:pt idx="129">
                  <c:v>2609.2773674819618</c:v>
                </c:pt>
                <c:pt idx="130">
                  <c:v>-67035.235336851794</c:v>
                </c:pt>
                <c:pt idx="131">
                  <c:v>-17167.500484380987</c:v>
                </c:pt>
                <c:pt idx="132">
                  <c:v>-54908.016204070649</c:v>
                </c:pt>
                <c:pt idx="133">
                  <c:v>-49454.116014564352</c:v>
                </c:pt>
                <c:pt idx="134">
                  <c:v>-9712.9947791201994</c:v>
                </c:pt>
                <c:pt idx="135">
                  <c:v>-20223.005314715789</c:v>
                </c:pt>
                <c:pt idx="136">
                  <c:v>-74463.764339236193</c:v>
                </c:pt>
                <c:pt idx="137">
                  <c:v>36369.103639803943</c:v>
                </c:pt>
                <c:pt idx="138">
                  <c:v>75120.106078310753</c:v>
                </c:pt>
                <c:pt idx="139">
                  <c:v>28361.153977255453</c:v>
                </c:pt>
                <c:pt idx="140">
                  <c:v>37765.580174423987</c:v>
                </c:pt>
                <c:pt idx="141">
                  <c:v>7894.2769953686511</c:v>
                </c:pt>
                <c:pt idx="142">
                  <c:v>37405.885216745897</c:v>
                </c:pt>
                <c:pt idx="143">
                  <c:v>14670.848274462973</c:v>
                </c:pt>
                <c:pt idx="144">
                  <c:v>-16303.097614999395</c:v>
                </c:pt>
                <c:pt idx="145">
                  <c:v>-13593.497124249232</c:v>
                </c:pt>
                <c:pt idx="146">
                  <c:v>16090.198541079648</c:v>
                </c:pt>
                <c:pt idx="147">
                  <c:v>18741.353853696026</c:v>
                </c:pt>
                <c:pt idx="148">
                  <c:v>-40890.951395024313</c:v>
                </c:pt>
                <c:pt idx="149">
                  <c:v>-10616.831130983424</c:v>
                </c:pt>
                <c:pt idx="150">
                  <c:v>22760.745666746167</c:v>
                </c:pt>
                <c:pt idx="151">
                  <c:v>10980.534825027222</c:v>
                </c:pt>
                <c:pt idx="152">
                  <c:v>-15683.210184405791</c:v>
                </c:pt>
                <c:pt idx="153">
                  <c:v>13372.198344959761</c:v>
                </c:pt>
                <c:pt idx="154">
                  <c:v>-39937.166258573881</c:v>
                </c:pt>
                <c:pt idx="155">
                  <c:v>-384.22638123715296</c:v>
                </c:pt>
                <c:pt idx="156">
                  <c:v>-14150.102509110584</c:v>
                </c:pt>
                <c:pt idx="157">
                  <c:v>-27767.950229475158</c:v>
                </c:pt>
                <c:pt idx="158">
                  <c:v>70278.728552476503</c:v>
                </c:pt>
                <c:pt idx="159">
                  <c:v>60131.600393095636</c:v>
                </c:pt>
                <c:pt idx="160">
                  <c:v>-56426.036263536895</c:v>
                </c:pt>
                <c:pt idx="161">
                  <c:v>66877.512257629074</c:v>
                </c:pt>
                <c:pt idx="162">
                  <c:v>-17834.972843340947</c:v>
                </c:pt>
                <c:pt idx="163">
                  <c:v>-17561.167302464019</c:v>
                </c:pt>
                <c:pt idx="164">
                  <c:v>36728.768946809345</c:v>
                </c:pt>
                <c:pt idx="165">
                  <c:v>-30203.475982093718</c:v>
                </c:pt>
                <c:pt idx="166">
                  <c:v>-13448.978296396905</c:v>
                </c:pt>
                <c:pt idx="167">
                  <c:v>2525.6097810168285</c:v>
                </c:pt>
                <c:pt idx="168">
                  <c:v>-25288.935720009264</c:v>
                </c:pt>
                <c:pt idx="169">
                  <c:v>-69310.68791639444</c:v>
                </c:pt>
                <c:pt idx="170">
                  <c:v>40682.273673473625</c:v>
                </c:pt>
                <c:pt idx="171">
                  <c:v>922.53467411349993</c:v>
                </c:pt>
                <c:pt idx="172">
                  <c:v>33681.170755378553</c:v>
                </c:pt>
                <c:pt idx="173">
                  <c:v>-7783.8649610700086</c:v>
                </c:pt>
                <c:pt idx="174">
                  <c:v>-2795.2352716417518</c:v>
                </c:pt>
                <c:pt idx="175">
                  <c:v>8059.6060102516785</c:v>
                </c:pt>
                <c:pt idx="176">
                  <c:v>-1982.4565074355341</c:v>
                </c:pt>
                <c:pt idx="177">
                  <c:v>49632.523313343991</c:v>
                </c:pt>
                <c:pt idx="178">
                  <c:v>7826.9726684617344</c:v>
                </c:pt>
                <c:pt idx="179">
                  <c:v>34001.563883399358</c:v>
                </c:pt>
                <c:pt idx="180">
                  <c:v>4350.1648900639266</c:v>
                </c:pt>
                <c:pt idx="181">
                  <c:v>11308.628579103388</c:v>
                </c:pt>
                <c:pt idx="182">
                  <c:v>6598.4472384188557</c:v>
                </c:pt>
                <c:pt idx="183">
                  <c:v>7271.4418750627665</c:v>
                </c:pt>
                <c:pt idx="184">
                  <c:v>-23486.627724211779</c:v>
                </c:pt>
                <c:pt idx="185">
                  <c:v>17683.092780012754</c:v>
                </c:pt>
                <c:pt idx="186">
                  <c:v>59791.609200068284</c:v>
                </c:pt>
                <c:pt idx="187">
                  <c:v>3507.09281033359</c:v>
                </c:pt>
                <c:pt idx="188">
                  <c:v>37546.818455140456</c:v>
                </c:pt>
                <c:pt idx="189">
                  <c:v>14156.74429058691</c:v>
                </c:pt>
                <c:pt idx="190">
                  <c:v>-5521.701050160802</c:v>
                </c:pt>
                <c:pt idx="191">
                  <c:v>-48068.02695834206</c:v>
                </c:pt>
                <c:pt idx="192">
                  <c:v>-32846.168742094422</c:v>
                </c:pt>
                <c:pt idx="193">
                  <c:v>4933.7345669901697</c:v>
                </c:pt>
                <c:pt idx="194">
                  <c:v>8145.1424212144921</c:v>
                </c:pt>
                <c:pt idx="195">
                  <c:v>-74482.389024564705</c:v>
                </c:pt>
                <c:pt idx="196">
                  <c:v>58391.862800903735</c:v>
                </c:pt>
                <c:pt idx="197">
                  <c:v>-28701.85991488467</c:v>
                </c:pt>
                <c:pt idx="198">
                  <c:v>-16726.406184256542</c:v>
                </c:pt>
                <c:pt idx="199">
                  <c:v>89536.056512310286</c:v>
                </c:pt>
                <c:pt idx="200">
                  <c:v>-31949.59957091033</c:v>
                </c:pt>
                <c:pt idx="201">
                  <c:v>74552.097428550711</c:v>
                </c:pt>
                <c:pt idx="202">
                  <c:v>-70619.376423915499</c:v>
                </c:pt>
                <c:pt idx="203">
                  <c:v>-37447.365648613311</c:v>
                </c:pt>
                <c:pt idx="204">
                  <c:v>-17020.691374868155</c:v>
                </c:pt>
                <c:pt idx="205">
                  <c:v>55472.542886759504</c:v>
                </c:pt>
                <c:pt idx="206">
                  <c:v>-61774.016211703769</c:v>
                </c:pt>
                <c:pt idx="207">
                  <c:v>-79251.394279664033</c:v>
                </c:pt>
                <c:pt idx="208">
                  <c:v>14814.93295536947</c:v>
                </c:pt>
                <c:pt idx="209">
                  <c:v>-65940.620952712488</c:v>
                </c:pt>
                <c:pt idx="210">
                  <c:v>-12783.478901439114</c:v>
                </c:pt>
                <c:pt idx="211">
                  <c:v>-9727.8997977415565</c:v>
                </c:pt>
                <c:pt idx="212">
                  <c:v>36152.103286266443</c:v>
                </c:pt>
                <c:pt idx="213">
                  <c:v>43173.495662944741</c:v>
                </c:pt>
                <c:pt idx="214">
                  <c:v>-14175.746289450326</c:v>
                </c:pt>
                <c:pt idx="215">
                  <c:v>4977.6160121682333</c:v>
                </c:pt>
                <c:pt idx="216">
                  <c:v>21744.13579642179</c:v>
                </c:pt>
                <c:pt idx="217">
                  <c:v>-11361.176274736063</c:v>
                </c:pt>
                <c:pt idx="218">
                  <c:v>40672.399245483102</c:v>
                </c:pt>
                <c:pt idx="219">
                  <c:v>-5473.3414625355508</c:v>
                </c:pt>
                <c:pt idx="220">
                  <c:v>15141.876196693745</c:v>
                </c:pt>
                <c:pt idx="221">
                  <c:v>7138.8004373770673</c:v>
                </c:pt>
                <c:pt idx="222">
                  <c:v>5254.4900530084269</c:v>
                </c:pt>
                <c:pt idx="223">
                  <c:v>-31905.052277921932</c:v>
                </c:pt>
                <c:pt idx="224">
                  <c:v>40571.147932858439</c:v>
                </c:pt>
                <c:pt idx="225">
                  <c:v>12306.40021869872</c:v>
                </c:pt>
                <c:pt idx="226">
                  <c:v>-21476.731081700651</c:v>
                </c:pt>
                <c:pt idx="227">
                  <c:v>22258.791594973474</c:v>
                </c:pt>
                <c:pt idx="228">
                  <c:v>-50818.69585107686</c:v>
                </c:pt>
                <c:pt idx="229">
                  <c:v>57671.717775837751</c:v>
                </c:pt>
                <c:pt idx="230">
                  <c:v>-32197.260877824156</c:v>
                </c:pt>
                <c:pt idx="231">
                  <c:v>26135.095451347879</c:v>
                </c:pt>
                <c:pt idx="232">
                  <c:v>46842.895974721643</c:v>
                </c:pt>
                <c:pt idx="233">
                  <c:v>83826.613294604351</c:v>
                </c:pt>
                <c:pt idx="234">
                  <c:v>8362.8059956963407</c:v>
                </c:pt>
                <c:pt idx="235">
                  <c:v>8085.7998448831495</c:v>
                </c:pt>
                <c:pt idx="236">
                  <c:v>-82033.971156941261</c:v>
                </c:pt>
                <c:pt idx="237">
                  <c:v>-23233.9893119185</c:v>
                </c:pt>
                <c:pt idx="238">
                  <c:v>-13314.499488121481</c:v>
                </c:pt>
                <c:pt idx="239">
                  <c:v>3965.5503800655715</c:v>
                </c:pt>
                <c:pt idx="240">
                  <c:v>25016.265670952736</c:v>
                </c:pt>
                <c:pt idx="241">
                  <c:v>7251.1897042765049</c:v>
                </c:pt>
                <c:pt idx="242">
                  <c:v>-5193.563538994058</c:v>
                </c:pt>
                <c:pt idx="243">
                  <c:v>-10477.961042018491</c:v>
                </c:pt>
                <c:pt idx="244">
                  <c:v>24862.441537567298</c:v>
                </c:pt>
                <c:pt idx="245">
                  <c:v>11580.237017213833</c:v>
                </c:pt>
                <c:pt idx="246">
                  <c:v>-16678.138792572776</c:v>
                </c:pt>
                <c:pt idx="247">
                  <c:v>3948.8317629219964</c:v>
                </c:pt>
                <c:pt idx="248">
                  <c:v>18285.774543538806</c:v>
                </c:pt>
                <c:pt idx="249">
                  <c:v>-8463.9945273931371</c:v>
                </c:pt>
                <c:pt idx="250">
                  <c:v>5350.5959814187372</c:v>
                </c:pt>
                <c:pt idx="251">
                  <c:v>17375.545140076312</c:v>
                </c:pt>
                <c:pt idx="252">
                  <c:v>-19665.83956971881</c:v>
                </c:pt>
                <c:pt idx="253">
                  <c:v>70181.177805456799</c:v>
                </c:pt>
                <c:pt idx="254">
                  <c:v>17019.515658253804</c:v>
                </c:pt>
                <c:pt idx="255">
                  <c:v>-59357.220397502067</c:v>
                </c:pt>
                <c:pt idx="256">
                  <c:v>66620.223475624691</c:v>
                </c:pt>
                <c:pt idx="257">
                  <c:v>2550.0690936011961</c:v>
                </c:pt>
                <c:pt idx="258">
                  <c:v>-14262.861586658517</c:v>
                </c:pt>
                <c:pt idx="259">
                  <c:v>40340.829162560403</c:v>
                </c:pt>
                <c:pt idx="260">
                  <c:v>-424.0676527878968</c:v>
                </c:pt>
                <c:pt idx="261">
                  <c:v>-6525.3598302601604</c:v>
                </c:pt>
                <c:pt idx="262">
                  <c:v>58531.449893885525</c:v>
                </c:pt>
                <c:pt idx="263">
                  <c:v>21193.847606689786</c:v>
                </c:pt>
                <c:pt idx="264">
                  <c:v>-9871.8726875142893</c:v>
                </c:pt>
                <c:pt idx="265">
                  <c:v>38649.283422643784</c:v>
                </c:pt>
                <c:pt idx="266">
                  <c:v>30923.901169023244</c:v>
                </c:pt>
                <c:pt idx="267">
                  <c:v>41432.320506498683</c:v>
                </c:pt>
                <c:pt idx="268">
                  <c:v>-79808.338610787992</c:v>
                </c:pt>
                <c:pt idx="269">
                  <c:v>50476.932587645366</c:v>
                </c:pt>
                <c:pt idx="270">
                  <c:v>-5939.7326649073511</c:v>
                </c:pt>
                <c:pt idx="271">
                  <c:v>-71428.350634973031</c:v>
                </c:pt>
                <c:pt idx="272">
                  <c:v>5221.2574555516476</c:v>
                </c:pt>
                <c:pt idx="273">
                  <c:v>41528.14588468289</c:v>
                </c:pt>
                <c:pt idx="274">
                  <c:v>-8997.2383942551678</c:v>
                </c:pt>
                <c:pt idx="275">
                  <c:v>91668.572257052874</c:v>
                </c:pt>
                <c:pt idx="276">
                  <c:v>-63679.38358230528</c:v>
                </c:pt>
                <c:pt idx="277">
                  <c:v>32899.981247370946</c:v>
                </c:pt>
                <c:pt idx="278">
                  <c:v>9550.190275053028</c:v>
                </c:pt>
                <c:pt idx="279">
                  <c:v>-12997.859893459245</c:v>
                </c:pt>
                <c:pt idx="280">
                  <c:v>-51492.096723981551</c:v>
                </c:pt>
                <c:pt idx="281">
                  <c:v>-36995.910762457526</c:v>
                </c:pt>
                <c:pt idx="282">
                  <c:v>13811.608922852087</c:v>
                </c:pt>
                <c:pt idx="283">
                  <c:v>-8999.4342753458186</c:v>
                </c:pt>
                <c:pt idx="284">
                  <c:v>-12562.979553747107</c:v>
                </c:pt>
                <c:pt idx="285">
                  <c:v>-3323.3819294533459</c:v>
                </c:pt>
                <c:pt idx="286">
                  <c:v>8905.5790149988607</c:v>
                </c:pt>
                <c:pt idx="287">
                  <c:v>-13023.745759743499</c:v>
                </c:pt>
                <c:pt idx="288">
                  <c:v>50188.250314401579</c:v>
                </c:pt>
                <c:pt idx="289">
                  <c:v>-10083.798959154403</c:v>
                </c:pt>
                <c:pt idx="290">
                  <c:v>106192.70634373149</c:v>
                </c:pt>
                <c:pt idx="291">
                  <c:v>-660.51106072228868</c:v>
                </c:pt>
                <c:pt idx="292">
                  <c:v>-49842.176765253185</c:v>
                </c:pt>
                <c:pt idx="293">
                  <c:v>637.0166488212999</c:v>
                </c:pt>
                <c:pt idx="294">
                  <c:v>-9594.7625466982718</c:v>
                </c:pt>
                <c:pt idx="295">
                  <c:v>12161.866473145375</c:v>
                </c:pt>
                <c:pt idx="296">
                  <c:v>-7725.7485264360439</c:v>
                </c:pt>
                <c:pt idx="297">
                  <c:v>80598.237773938221</c:v>
                </c:pt>
                <c:pt idx="298">
                  <c:v>-21437.678101157304</c:v>
                </c:pt>
                <c:pt idx="299">
                  <c:v>-69871.425121836306</c:v>
                </c:pt>
                <c:pt idx="300">
                  <c:v>-24955.196922614006</c:v>
                </c:pt>
                <c:pt idx="301">
                  <c:v>-6421.6194239672041</c:v>
                </c:pt>
                <c:pt idx="302">
                  <c:v>-18634.526272425195</c:v>
                </c:pt>
                <c:pt idx="303">
                  <c:v>51383.354671249981</c:v>
                </c:pt>
                <c:pt idx="304">
                  <c:v>41406.451890726923</c:v>
                </c:pt>
                <c:pt idx="305">
                  <c:v>-93480.754941086867</c:v>
                </c:pt>
                <c:pt idx="306">
                  <c:v>53988.814320102101</c:v>
                </c:pt>
                <c:pt idx="307">
                  <c:v>-49346.588811333291</c:v>
                </c:pt>
                <c:pt idx="308">
                  <c:v>-22282.097101375228</c:v>
                </c:pt>
                <c:pt idx="309">
                  <c:v>-48515.608121502097</c:v>
                </c:pt>
                <c:pt idx="310">
                  <c:v>-20328.170178774977</c:v>
                </c:pt>
                <c:pt idx="311">
                  <c:v>12772.966173886089</c:v>
                </c:pt>
                <c:pt idx="312">
                  <c:v>39492.690647941316</c:v>
                </c:pt>
                <c:pt idx="313">
                  <c:v>-24617.046396170976</c:v>
                </c:pt>
                <c:pt idx="314">
                  <c:v>33445.537383546471</c:v>
                </c:pt>
                <c:pt idx="315">
                  <c:v>33363.594467651565</c:v>
                </c:pt>
                <c:pt idx="316">
                  <c:v>-38789.424119110336</c:v>
                </c:pt>
                <c:pt idx="317">
                  <c:v>24191.533265398582</c:v>
                </c:pt>
                <c:pt idx="318">
                  <c:v>11020.303544730181</c:v>
                </c:pt>
                <c:pt idx="319">
                  <c:v>-21112.599669000367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5F-5341-AE44-A5A4822D3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11327"/>
        <c:axId val="89217151"/>
      </c:scatterChart>
      <c:valAx>
        <c:axId val="89211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reg_West</a:t>
                </a:r>
              </a:p>
            </c:rich>
          </c:tx>
          <c:overlay val="0"/>
        </c:title>
        <c:majorTickMark val="out"/>
        <c:minorTickMark val="none"/>
        <c:tickLblPos val="nextTo"/>
        <c:crossAx val="89217151"/>
        <c:crosses val="autoZero"/>
        <c:crossBetween val="midCat"/>
      </c:valAx>
      <c:valAx>
        <c:axId val="89217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21132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reg_North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'MR Output'!$J$2:$J$321</c:f>
              <c:numCache>
                <c:formatCode>General</c:formatCode>
                <c:ptCount val="320"/>
              </c:numCache>
            </c:numRef>
          </c:xVal>
          <c:yVal>
            <c:numRef>
              <c:f>'MR Output'!$C$35:$C$354</c:f>
              <c:numCache>
                <c:formatCode>General</c:formatCode>
                <c:ptCount val="320"/>
                <c:pt idx="0">
                  <c:v>-23396.626781843137</c:v>
                </c:pt>
                <c:pt idx="1">
                  <c:v>-40589.274646520149</c:v>
                </c:pt>
                <c:pt idx="2">
                  <c:v>-54738.979435316287</c:v>
                </c:pt>
                <c:pt idx="3">
                  <c:v>-80673.972340586013</c:v>
                </c:pt>
                <c:pt idx="4">
                  <c:v>-48983.906844820362</c:v>
                </c:pt>
                <c:pt idx="5">
                  <c:v>-21788.994438463938</c:v>
                </c:pt>
                <c:pt idx="6">
                  <c:v>16106.574343493208</c:v>
                </c:pt>
                <c:pt idx="7">
                  <c:v>74722.573556983261</c:v>
                </c:pt>
                <c:pt idx="8">
                  <c:v>65114.694738529157</c:v>
                </c:pt>
                <c:pt idx="9">
                  <c:v>-24713.516222127946</c:v>
                </c:pt>
                <c:pt idx="10">
                  <c:v>-35078.386815394508</c:v>
                </c:pt>
                <c:pt idx="11">
                  <c:v>41587.256043890025</c:v>
                </c:pt>
                <c:pt idx="12">
                  <c:v>54466.515269455151</c:v>
                </c:pt>
                <c:pt idx="13">
                  <c:v>-38824.672632375965</c:v>
                </c:pt>
                <c:pt idx="14">
                  <c:v>7490.529813800822</c:v>
                </c:pt>
                <c:pt idx="15">
                  <c:v>31047.402063647634</c:v>
                </c:pt>
                <c:pt idx="16">
                  <c:v>-14466.638574450044</c:v>
                </c:pt>
                <c:pt idx="17">
                  <c:v>-17967.734839509358</c:v>
                </c:pt>
                <c:pt idx="18">
                  <c:v>-20588.291941397823</c:v>
                </c:pt>
                <c:pt idx="19">
                  <c:v>-4500.2829324092017</c:v>
                </c:pt>
                <c:pt idx="20">
                  <c:v>-84848.752077705634</c:v>
                </c:pt>
                <c:pt idx="21">
                  <c:v>-2247.007168705517</c:v>
                </c:pt>
                <c:pt idx="22">
                  <c:v>33216.096190231852</c:v>
                </c:pt>
                <c:pt idx="23">
                  <c:v>15763.265457478585</c:v>
                </c:pt>
                <c:pt idx="24">
                  <c:v>-28825.022886868916</c:v>
                </c:pt>
                <c:pt idx="25">
                  <c:v>-112680.30349482025</c:v>
                </c:pt>
                <c:pt idx="26">
                  <c:v>-19187.56667163712</c:v>
                </c:pt>
                <c:pt idx="27">
                  <c:v>-1982.2051082962425</c:v>
                </c:pt>
                <c:pt idx="28">
                  <c:v>-54597.565121964726</c:v>
                </c:pt>
                <c:pt idx="29">
                  <c:v>35273.884643438621</c:v>
                </c:pt>
                <c:pt idx="30">
                  <c:v>5064.9537055502879</c:v>
                </c:pt>
                <c:pt idx="31">
                  <c:v>-50092.283397609252</c:v>
                </c:pt>
                <c:pt idx="32">
                  <c:v>-99075.453786892351</c:v>
                </c:pt>
                <c:pt idx="33">
                  <c:v>-47329.614193545538</c:v>
                </c:pt>
                <c:pt idx="34">
                  <c:v>9811.4259448212106</c:v>
                </c:pt>
                <c:pt idx="35">
                  <c:v>-8535.2947134464048</c:v>
                </c:pt>
                <c:pt idx="36">
                  <c:v>42055.875067052781</c:v>
                </c:pt>
                <c:pt idx="37">
                  <c:v>-41249.791617452633</c:v>
                </c:pt>
                <c:pt idx="38">
                  <c:v>-12094.301091901609</c:v>
                </c:pt>
                <c:pt idx="39">
                  <c:v>-3967.3774898507399</c:v>
                </c:pt>
                <c:pt idx="40">
                  <c:v>4417.2622600748437</c:v>
                </c:pt>
                <c:pt idx="41">
                  <c:v>8801.1888409905368</c:v>
                </c:pt>
                <c:pt idx="42">
                  <c:v>69029.08785512601</c:v>
                </c:pt>
                <c:pt idx="43">
                  <c:v>4527.6321805616608</c:v>
                </c:pt>
                <c:pt idx="44">
                  <c:v>-119858.46516582719</c:v>
                </c:pt>
                <c:pt idx="45">
                  <c:v>-29424.765788684483</c:v>
                </c:pt>
                <c:pt idx="46">
                  <c:v>45989.753125274903</c:v>
                </c:pt>
                <c:pt idx="47">
                  <c:v>26186.059941890649</c:v>
                </c:pt>
                <c:pt idx="48">
                  <c:v>-43005.161184015567</c:v>
                </c:pt>
                <c:pt idx="49">
                  <c:v>3594.0575298904441</c:v>
                </c:pt>
                <c:pt idx="50">
                  <c:v>5119.67701850296</c:v>
                </c:pt>
                <c:pt idx="51">
                  <c:v>24134.723394281114</c:v>
                </c:pt>
                <c:pt idx="52">
                  <c:v>-99951.999509744695</c:v>
                </c:pt>
                <c:pt idx="53">
                  <c:v>22211.565001384588</c:v>
                </c:pt>
                <c:pt idx="54">
                  <c:v>31813.553961634985</c:v>
                </c:pt>
                <c:pt idx="55">
                  <c:v>-49662.841596194368</c:v>
                </c:pt>
                <c:pt idx="56">
                  <c:v>-10161.150369689916</c:v>
                </c:pt>
                <c:pt idx="57">
                  <c:v>-25124.737045928836</c:v>
                </c:pt>
                <c:pt idx="58">
                  <c:v>-51497.728718375205</c:v>
                </c:pt>
                <c:pt idx="59">
                  <c:v>-54496.372349109151</c:v>
                </c:pt>
                <c:pt idx="60">
                  <c:v>57951.797879582387</c:v>
                </c:pt>
                <c:pt idx="61">
                  <c:v>42882.596153215971</c:v>
                </c:pt>
                <c:pt idx="62">
                  <c:v>-11962.920377109898</c:v>
                </c:pt>
                <c:pt idx="63">
                  <c:v>41371.094150976976</c:v>
                </c:pt>
                <c:pt idx="64">
                  <c:v>-24625.628438642598</c:v>
                </c:pt>
                <c:pt idx="65">
                  <c:v>-22386.048004407203</c:v>
                </c:pt>
                <c:pt idx="66">
                  <c:v>-159545.34921086964</c:v>
                </c:pt>
                <c:pt idx="67">
                  <c:v>5163.1553148837993</c:v>
                </c:pt>
                <c:pt idx="68">
                  <c:v>81093.947258593515</c:v>
                </c:pt>
                <c:pt idx="69">
                  <c:v>-11348.700272688933</c:v>
                </c:pt>
                <c:pt idx="70">
                  <c:v>23900.138530391036</c:v>
                </c:pt>
                <c:pt idx="71">
                  <c:v>43893.202803671127</c:v>
                </c:pt>
                <c:pt idx="72">
                  <c:v>24286.882529946859</c:v>
                </c:pt>
                <c:pt idx="73">
                  <c:v>-56455.345427068882</c:v>
                </c:pt>
                <c:pt idx="74">
                  <c:v>92630.743504519342</c:v>
                </c:pt>
                <c:pt idx="75">
                  <c:v>-27963.210606254521</c:v>
                </c:pt>
                <c:pt idx="76">
                  <c:v>-10280.063729639282</c:v>
                </c:pt>
                <c:pt idx="77">
                  <c:v>42807.102380570839</c:v>
                </c:pt>
                <c:pt idx="78">
                  <c:v>51721.538853458012</c:v>
                </c:pt>
                <c:pt idx="79">
                  <c:v>-23075.104466554476</c:v>
                </c:pt>
                <c:pt idx="80">
                  <c:v>-39107.691414364264</c:v>
                </c:pt>
                <c:pt idx="81">
                  <c:v>33691.394678910729</c:v>
                </c:pt>
                <c:pt idx="82">
                  <c:v>64637.530529205338</c:v>
                </c:pt>
                <c:pt idx="83">
                  <c:v>368.90728751698043</c:v>
                </c:pt>
                <c:pt idx="84">
                  <c:v>-1410.3824697458185</c:v>
                </c:pt>
                <c:pt idx="85">
                  <c:v>-36538.832739606267</c:v>
                </c:pt>
                <c:pt idx="86">
                  <c:v>-15777.861594122718</c:v>
                </c:pt>
                <c:pt idx="87">
                  <c:v>-16435.163458375144</c:v>
                </c:pt>
                <c:pt idx="88">
                  <c:v>21755.457781846984</c:v>
                </c:pt>
                <c:pt idx="89">
                  <c:v>-145887.49825806229</c:v>
                </c:pt>
                <c:pt idx="90">
                  <c:v>2237.4343256924767</c:v>
                </c:pt>
                <c:pt idx="91">
                  <c:v>14437.798364212271</c:v>
                </c:pt>
                <c:pt idx="92">
                  <c:v>-9434.9598424386932</c:v>
                </c:pt>
                <c:pt idx="93">
                  <c:v>50092.299131099135</c:v>
                </c:pt>
                <c:pt idx="94">
                  <c:v>56673.539790682495</c:v>
                </c:pt>
                <c:pt idx="95">
                  <c:v>-17922.169680106104</c:v>
                </c:pt>
                <c:pt idx="96">
                  <c:v>-22456.368847186794</c:v>
                </c:pt>
                <c:pt idx="97">
                  <c:v>60317.828572276398</c:v>
                </c:pt>
                <c:pt idx="98">
                  <c:v>-22505.275326767354</c:v>
                </c:pt>
                <c:pt idx="99">
                  <c:v>7881.3132524674293</c:v>
                </c:pt>
                <c:pt idx="100">
                  <c:v>41162.478323775344</c:v>
                </c:pt>
                <c:pt idx="101">
                  <c:v>-44286.779506593593</c:v>
                </c:pt>
                <c:pt idx="102">
                  <c:v>27523.796681808657</c:v>
                </c:pt>
                <c:pt idx="103">
                  <c:v>84798.177160112187</c:v>
                </c:pt>
                <c:pt idx="104">
                  <c:v>38910.187828109134</c:v>
                </c:pt>
                <c:pt idx="105">
                  <c:v>-3073.8266053253319</c:v>
                </c:pt>
                <c:pt idx="106">
                  <c:v>76768.141347562429</c:v>
                </c:pt>
                <c:pt idx="107">
                  <c:v>-1939.1162745676702</c:v>
                </c:pt>
                <c:pt idx="108">
                  <c:v>36794.303905852372</c:v>
                </c:pt>
                <c:pt idx="109">
                  <c:v>16947.442180440761</c:v>
                </c:pt>
                <c:pt idx="110">
                  <c:v>-23166.90868565999</c:v>
                </c:pt>
                <c:pt idx="111">
                  <c:v>112722.72216396674</c:v>
                </c:pt>
                <c:pt idx="112">
                  <c:v>38935.058477346203</c:v>
                </c:pt>
                <c:pt idx="113">
                  <c:v>33051.941057308461</c:v>
                </c:pt>
                <c:pt idx="114">
                  <c:v>-50182.487019258668</c:v>
                </c:pt>
                <c:pt idx="115">
                  <c:v>-41075.971891315421</c:v>
                </c:pt>
                <c:pt idx="116">
                  <c:v>47.99631519196555</c:v>
                </c:pt>
                <c:pt idx="117">
                  <c:v>87296.097406457993</c:v>
                </c:pt>
                <c:pt idx="118">
                  <c:v>-71310.480207910878</c:v>
                </c:pt>
                <c:pt idx="119">
                  <c:v>-4975.8186270925216</c:v>
                </c:pt>
                <c:pt idx="120">
                  <c:v>-53482.204880068835</c:v>
                </c:pt>
                <c:pt idx="121">
                  <c:v>36026.783350614714</c:v>
                </c:pt>
                <c:pt idx="122">
                  <c:v>-32454.983670084155</c:v>
                </c:pt>
                <c:pt idx="123">
                  <c:v>-64254.582701205742</c:v>
                </c:pt>
                <c:pt idx="124">
                  <c:v>76285.972583058174</c:v>
                </c:pt>
                <c:pt idx="125">
                  <c:v>-21552.785960535868</c:v>
                </c:pt>
                <c:pt idx="126">
                  <c:v>39927.543372862041</c:v>
                </c:pt>
                <c:pt idx="127">
                  <c:v>-20106.380810166826</c:v>
                </c:pt>
                <c:pt idx="128">
                  <c:v>21931.25204198854</c:v>
                </c:pt>
                <c:pt idx="129">
                  <c:v>2609.2773674819618</c:v>
                </c:pt>
                <c:pt idx="130">
                  <c:v>-67035.235336851794</c:v>
                </c:pt>
                <c:pt idx="131">
                  <c:v>-17167.500484380987</c:v>
                </c:pt>
                <c:pt idx="132">
                  <c:v>-54908.016204070649</c:v>
                </c:pt>
                <c:pt idx="133">
                  <c:v>-49454.116014564352</c:v>
                </c:pt>
                <c:pt idx="134">
                  <c:v>-9712.9947791201994</c:v>
                </c:pt>
                <c:pt idx="135">
                  <c:v>-20223.005314715789</c:v>
                </c:pt>
                <c:pt idx="136">
                  <c:v>-74463.764339236193</c:v>
                </c:pt>
                <c:pt idx="137">
                  <c:v>36369.103639803943</c:v>
                </c:pt>
                <c:pt idx="138">
                  <c:v>75120.106078310753</c:v>
                </c:pt>
                <c:pt idx="139">
                  <c:v>28361.153977255453</c:v>
                </c:pt>
                <c:pt idx="140">
                  <c:v>37765.580174423987</c:v>
                </c:pt>
                <c:pt idx="141">
                  <c:v>7894.2769953686511</c:v>
                </c:pt>
                <c:pt idx="142">
                  <c:v>37405.885216745897</c:v>
                </c:pt>
                <c:pt idx="143">
                  <c:v>14670.848274462973</c:v>
                </c:pt>
                <c:pt idx="144">
                  <c:v>-16303.097614999395</c:v>
                </c:pt>
                <c:pt idx="145">
                  <c:v>-13593.497124249232</c:v>
                </c:pt>
                <c:pt idx="146">
                  <c:v>16090.198541079648</c:v>
                </c:pt>
                <c:pt idx="147">
                  <c:v>18741.353853696026</c:v>
                </c:pt>
                <c:pt idx="148">
                  <c:v>-40890.951395024313</c:v>
                </c:pt>
                <c:pt idx="149">
                  <c:v>-10616.831130983424</c:v>
                </c:pt>
                <c:pt idx="150">
                  <c:v>22760.745666746167</c:v>
                </c:pt>
                <c:pt idx="151">
                  <c:v>10980.534825027222</c:v>
                </c:pt>
                <c:pt idx="152">
                  <c:v>-15683.210184405791</c:v>
                </c:pt>
                <c:pt idx="153">
                  <c:v>13372.198344959761</c:v>
                </c:pt>
                <c:pt idx="154">
                  <c:v>-39937.166258573881</c:v>
                </c:pt>
                <c:pt idx="155">
                  <c:v>-384.22638123715296</c:v>
                </c:pt>
                <c:pt idx="156">
                  <c:v>-14150.102509110584</c:v>
                </c:pt>
                <c:pt idx="157">
                  <c:v>-27767.950229475158</c:v>
                </c:pt>
                <c:pt idx="158">
                  <c:v>70278.728552476503</c:v>
                </c:pt>
                <c:pt idx="159">
                  <c:v>60131.600393095636</c:v>
                </c:pt>
                <c:pt idx="160">
                  <c:v>-56426.036263536895</c:v>
                </c:pt>
                <c:pt idx="161">
                  <c:v>66877.512257629074</c:v>
                </c:pt>
                <c:pt idx="162">
                  <c:v>-17834.972843340947</c:v>
                </c:pt>
                <c:pt idx="163">
                  <c:v>-17561.167302464019</c:v>
                </c:pt>
                <c:pt idx="164">
                  <c:v>36728.768946809345</c:v>
                </c:pt>
                <c:pt idx="165">
                  <c:v>-30203.475982093718</c:v>
                </c:pt>
                <c:pt idx="166">
                  <c:v>-13448.978296396905</c:v>
                </c:pt>
                <c:pt idx="167">
                  <c:v>2525.6097810168285</c:v>
                </c:pt>
                <c:pt idx="168">
                  <c:v>-25288.935720009264</c:v>
                </c:pt>
                <c:pt idx="169">
                  <c:v>-69310.68791639444</c:v>
                </c:pt>
                <c:pt idx="170">
                  <c:v>40682.273673473625</c:v>
                </c:pt>
                <c:pt idx="171">
                  <c:v>922.53467411349993</c:v>
                </c:pt>
                <c:pt idx="172">
                  <c:v>33681.170755378553</c:v>
                </c:pt>
                <c:pt idx="173">
                  <c:v>-7783.8649610700086</c:v>
                </c:pt>
                <c:pt idx="174">
                  <c:v>-2795.2352716417518</c:v>
                </c:pt>
                <c:pt idx="175">
                  <c:v>8059.6060102516785</c:v>
                </c:pt>
                <c:pt idx="176">
                  <c:v>-1982.4565074355341</c:v>
                </c:pt>
                <c:pt idx="177">
                  <c:v>49632.523313343991</c:v>
                </c:pt>
                <c:pt idx="178">
                  <c:v>7826.9726684617344</c:v>
                </c:pt>
                <c:pt idx="179">
                  <c:v>34001.563883399358</c:v>
                </c:pt>
                <c:pt idx="180">
                  <c:v>4350.1648900639266</c:v>
                </c:pt>
                <c:pt idx="181">
                  <c:v>11308.628579103388</c:v>
                </c:pt>
                <c:pt idx="182">
                  <c:v>6598.4472384188557</c:v>
                </c:pt>
                <c:pt idx="183">
                  <c:v>7271.4418750627665</c:v>
                </c:pt>
                <c:pt idx="184">
                  <c:v>-23486.627724211779</c:v>
                </c:pt>
                <c:pt idx="185">
                  <c:v>17683.092780012754</c:v>
                </c:pt>
                <c:pt idx="186">
                  <c:v>59791.609200068284</c:v>
                </c:pt>
                <c:pt idx="187">
                  <c:v>3507.09281033359</c:v>
                </c:pt>
                <c:pt idx="188">
                  <c:v>37546.818455140456</c:v>
                </c:pt>
                <c:pt idx="189">
                  <c:v>14156.74429058691</c:v>
                </c:pt>
                <c:pt idx="190">
                  <c:v>-5521.701050160802</c:v>
                </c:pt>
                <c:pt idx="191">
                  <c:v>-48068.02695834206</c:v>
                </c:pt>
                <c:pt idx="192">
                  <c:v>-32846.168742094422</c:v>
                </c:pt>
                <c:pt idx="193">
                  <c:v>4933.7345669901697</c:v>
                </c:pt>
                <c:pt idx="194">
                  <c:v>8145.1424212144921</c:v>
                </c:pt>
                <c:pt idx="195">
                  <c:v>-74482.389024564705</c:v>
                </c:pt>
                <c:pt idx="196">
                  <c:v>58391.862800903735</c:v>
                </c:pt>
                <c:pt idx="197">
                  <c:v>-28701.85991488467</c:v>
                </c:pt>
                <c:pt idx="198">
                  <c:v>-16726.406184256542</c:v>
                </c:pt>
                <c:pt idx="199">
                  <c:v>89536.056512310286</c:v>
                </c:pt>
                <c:pt idx="200">
                  <c:v>-31949.59957091033</c:v>
                </c:pt>
                <c:pt idx="201">
                  <c:v>74552.097428550711</c:v>
                </c:pt>
                <c:pt idx="202">
                  <c:v>-70619.376423915499</c:v>
                </c:pt>
                <c:pt idx="203">
                  <c:v>-37447.365648613311</c:v>
                </c:pt>
                <c:pt idx="204">
                  <c:v>-17020.691374868155</c:v>
                </c:pt>
                <c:pt idx="205">
                  <c:v>55472.542886759504</c:v>
                </c:pt>
                <c:pt idx="206">
                  <c:v>-61774.016211703769</c:v>
                </c:pt>
                <c:pt idx="207">
                  <c:v>-79251.394279664033</c:v>
                </c:pt>
                <c:pt idx="208">
                  <c:v>14814.93295536947</c:v>
                </c:pt>
                <c:pt idx="209">
                  <c:v>-65940.620952712488</c:v>
                </c:pt>
                <c:pt idx="210">
                  <c:v>-12783.478901439114</c:v>
                </c:pt>
                <c:pt idx="211">
                  <c:v>-9727.8997977415565</c:v>
                </c:pt>
                <c:pt idx="212">
                  <c:v>36152.103286266443</c:v>
                </c:pt>
                <c:pt idx="213">
                  <c:v>43173.495662944741</c:v>
                </c:pt>
                <c:pt idx="214">
                  <c:v>-14175.746289450326</c:v>
                </c:pt>
                <c:pt idx="215">
                  <c:v>4977.6160121682333</c:v>
                </c:pt>
                <c:pt idx="216">
                  <c:v>21744.13579642179</c:v>
                </c:pt>
                <c:pt idx="217">
                  <c:v>-11361.176274736063</c:v>
                </c:pt>
                <c:pt idx="218">
                  <c:v>40672.399245483102</c:v>
                </c:pt>
                <c:pt idx="219">
                  <c:v>-5473.3414625355508</c:v>
                </c:pt>
                <c:pt idx="220">
                  <c:v>15141.876196693745</c:v>
                </c:pt>
                <c:pt idx="221">
                  <c:v>7138.8004373770673</c:v>
                </c:pt>
                <c:pt idx="222">
                  <c:v>5254.4900530084269</c:v>
                </c:pt>
                <c:pt idx="223">
                  <c:v>-31905.052277921932</c:v>
                </c:pt>
                <c:pt idx="224">
                  <c:v>40571.147932858439</c:v>
                </c:pt>
                <c:pt idx="225">
                  <c:v>12306.40021869872</c:v>
                </c:pt>
                <c:pt idx="226">
                  <c:v>-21476.731081700651</c:v>
                </c:pt>
                <c:pt idx="227">
                  <c:v>22258.791594973474</c:v>
                </c:pt>
                <c:pt idx="228">
                  <c:v>-50818.69585107686</c:v>
                </c:pt>
                <c:pt idx="229">
                  <c:v>57671.717775837751</c:v>
                </c:pt>
                <c:pt idx="230">
                  <c:v>-32197.260877824156</c:v>
                </c:pt>
                <c:pt idx="231">
                  <c:v>26135.095451347879</c:v>
                </c:pt>
                <c:pt idx="232">
                  <c:v>46842.895974721643</c:v>
                </c:pt>
                <c:pt idx="233">
                  <c:v>83826.613294604351</c:v>
                </c:pt>
                <c:pt idx="234">
                  <c:v>8362.8059956963407</c:v>
                </c:pt>
                <c:pt idx="235">
                  <c:v>8085.7998448831495</c:v>
                </c:pt>
                <c:pt idx="236">
                  <c:v>-82033.971156941261</c:v>
                </c:pt>
                <c:pt idx="237">
                  <c:v>-23233.9893119185</c:v>
                </c:pt>
                <c:pt idx="238">
                  <c:v>-13314.499488121481</c:v>
                </c:pt>
                <c:pt idx="239">
                  <c:v>3965.5503800655715</c:v>
                </c:pt>
                <c:pt idx="240">
                  <c:v>25016.265670952736</c:v>
                </c:pt>
                <c:pt idx="241">
                  <c:v>7251.1897042765049</c:v>
                </c:pt>
                <c:pt idx="242">
                  <c:v>-5193.563538994058</c:v>
                </c:pt>
                <c:pt idx="243">
                  <c:v>-10477.961042018491</c:v>
                </c:pt>
                <c:pt idx="244">
                  <c:v>24862.441537567298</c:v>
                </c:pt>
                <c:pt idx="245">
                  <c:v>11580.237017213833</c:v>
                </c:pt>
                <c:pt idx="246">
                  <c:v>-16678.138792572776</c:v>
                </c:pt>
                <c:pt idx="247">
                  <c:v>3948.8317629219964</c:v>
                </c:pt>
                <c:pt idx="248">
                  <c:v>18285.774543538806</c:v>
                </c:pt>
                <c:pt idx="249">
                  <c:v>-8463.9945273931371</c:v>
                </c:pt>
                <c:pt idx="250">
                  <c:v>5350.5959814187372</c:v>
                </c:pt>
                <c:pt idx="251">
                  <c:v>17375.545140076312</c:v>
                </c:pt>
                <c:pt idx="252">
                  <c:v>-19665.83956971881</c:v>
                </c:pt>
                <c:pt idx="253">
                  <c:v>70181.177805456799</c:v>
                </c:pt>
                <c:pt idx="254">
                  <c:v>17019.515658253804</c:v>
                </c:pt>
                <c:pt idx="255">
                  <c:v>-59357.220397502067</c:v>
                </c:pt>
                <c:pt idx="256">
                  <c:v>66620.223475624691</c:v>
                </c:pt>
                <c:pt idx="257">
                  <c:v>2550.0690936011961</c:v>
                </c:pt>
                <c:pt idx="258">
                  <c:v>-14262.861586658517</c:v>
                </c:pt>
                <c:pt idx="259">
                  <c:v>40340.829162560403</c:v>
                </c:pt>
                <c:pt idx="260">
                  <c:v>-424.0676527878968</c:v>
                </c:pt>
                <c:pt idx="261">
                  <c:v>-6525.3598302601604</c:v>
                </c:pt>
                <c:pt idx="262">
                  <c:v>58531.449893885525</c:v>
                </c:pt>
                <c:pt idx="263">
                  <c:v>21193.847606689786</c:v>
                </c:pt>
                <c:pt idx="264">
                  <c:v>-9871.8726875142893</c:v>
                </c:pt>
                <c:pt idx="265">
                  <c:v>38649.283422643784</c:v>
                </c:pt>
                <c:pt idx="266">
                  <c:v>30923.901169023244</c:v>
                </c:pt>
                <c:pt idx="267">
                  <c:v>41432.320506498683</c:v>
                </c:pt>
                <c:pt idx="268">
                  <c:v>-79808.338610787992</c:v>
                </c:pt>
                <c:pt idx="269">
                  <c:v>50476.932587645366</c:v>
                </c:pt>
                <c:pt idx="270">
                  <c:v>-5939.7326649073511</c:v>
                </c:pt>
                <c:pt idx="271">
                  <c:v>-71428.350634973031</c:v>
                </c:pt>
                <c:pt idx="272">
                  <c:v>5221.2574555516476</c:v>
                </c:pt>
                <c:pt idx="273">
                  <c:v>41528.14588468289</c:v>
                </c:pt>
                <c:pt idx="274">
                  <c:v>-8997.2383942551678</c:v>
                </c:pt>
                <c:pt idx="275">
                  <c:v>91668.572257052874</c:v>
                </c:pt>
                <c:pt idx="276">
                  <c:v>-63679.38358230528</c:v>
                </c:pt>
                <c:pt idx="277">
                  <c:v>32899.981247370946</c:v>
                </c:pt>
                <c:pt idx="278">
                  <c:v>9550.190275053028</c:v>
                </c:pt>
                <c:pt idx="279">
                  <c:v>-12997.859893459245</c:v>
                </c:pt>
                <c:pt idx="280">
                  <c:v>-51492.096723981551</c:v>
                </c:pt>
                <c:pt idx="281">
                  <c:v>-36995.910762457526</c:v>
                </c:pt>
                <c:pt idx="282">
                  <c:v>13811.608922852087</c:v>
                </c:pt>
                <c:pt idx="283">
                  <c:v>-8999.4342753458186</c:v>
                </c:pt>
                <c:pt idx="284">
                  <c:v>-12562.979553747107</c:v>
                </c:pt>
                <c:pt idx="285">
                  <c:v>-3323.3819294533459</c:v>
                </c:pt>
                <c:pt idx="286">
                  <c:v>8905.5790149988607</c:v>
                </c:pt>
                <c:pt idx="287">
                  <c:v>-13023.745759743499</c:v>
                </c:pt>
                <c:pt idx="288">
                  <c:v>50188.250314401579</c:v>
                </c:pt>
                <c:pt idx="289">
                  <c:v>-10083.798959154403</c:v>
                </c:pt>
                <c:pt idx="290">
                  <c:v>106192.70634373149</c:v>
                </c:pt>
                <c:pt idx="291">
                  <c:v>-660.51106072228868</c:v>
                </c:pt>
                <c:pt idx="292">
                  <c:v>-49842.176765253185</c:v>
                </c:pt>
                <c:pt idx="293">
                  <c:v>637.0166488212999</c:v>
                </c:pt>
                <c:pt idx="294">
                  <c:v>-9594.7625466982718</c:v>
                </c:pt>
                <c:pt idx="295">
                  <c:v>12161.866473145375</c:v>
                </c:pt>
                <c:pt idx="296">
                  <c:v>-7725.7485264360439</c:v>
                </c:pt>
                <c:pt idx="297">
                  <c:v>80598.237773938221</c:v>
                </c:pt>
                <c:pt idx="298">
                  <c:v>-21437.678101157304</c:v>
                </c:pt>
                <c:pt idx="299">
                  <c:v>-69871.425121836306</c:v>
                </c:pt>
                <c:pt idx="300">
                  <c:v>-24955.196922614006</c:v>
                </c:pt>
                <c:pt idx="301">
                  <c:v>-6421.6194239672041</c:v>
                </c:pt>
                <c:pt idx="302">
                  <c:v>-18634.526272425195</c:v>
                </c:pt>
                <c:pt idx="303">
                  <c:v>51383.354671249981</c:v>
                </c:pt>
                <c:pt idx="304">
                  <c:v>41406.451890726923</c:v>
                </c:pt>
                <c:pt idx="305">
                  <c:v>-93480.754941086867</c:v>
                </c:pt>
                <c:pt idx="306">
                  <c:v>53988.814320102101</c:v>
                </c:pt>
                <c:pt idx="307">
                  <c:v>-49346.588811333291</c:v>
                </c:pt>
                <c:pt idx="308">
                  <c:v>-22282.097101375228</c:v>
                </c:pt>
                <c:pt idx="309">
                  <c:v>-48515.608121502097</c:v>
                </c:pt>
                <c:pt idx="310">
                  <c:v>-20328.170178774977</c:v>
                </c:pt>
                <c:pt idx="311">
                  <c:v>12772.966173886089</c:v>
                </c:pt>
                <c:pt idx="312">
                  <c:v>39492.690647941316</c:v>
                </c:pt>
                <c:pt idx="313">
                  <c:v>-24617.046396170976</c:v>
                </c:pt>
                <c:pt idx="314">
                  <c:v>33445.537383546471</c:v>
                </c:pt>
                <c:pt idx="315">
                  <c:v>33363.594467651565</c:v>
                </c:pt>
                <c:pt idx="316">
                  <c:v>-38789.424119110336</c:v>
                </c:pt>
                <c:pt idx="317">
                  <c:v>24191.533265398582</c:v>
                </c:pt>
                <c:pt idx="318">
                  <c:v>11020.303544730181</c:v>
                </c:pt>
                <c:pt idx="319">
                  <c:v>-21112.599669000367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56-8041-92E6-E985670F1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21183"/>
        <c:axId val="178169471"/>
      </c:scatterChart>
      <c:valAx>
        <c:axId val="89221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reg_North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169471"/>
        <c:crosses val="autoZero"/>
        <c:crossBetween val="midCat"/>
      </c:valAx>
      <c:valAx>
        <c:axId val="178169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2211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reg_South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'MR Output'!$K$2:$K$321</c:f>
              <c:numCache>
                <c:formatCode>General</c:formatCode>
                <c:ptCount val="320"/>
              </c:numCache>
            </c:numRef>
          </c:xVal>
          <c:yVal>
            <c:numRef>
              <c:f>'MR Output'!$C$35:$C$354</c:f>
              <c:numCache>
                <c:formatCode>General</c:formatCode>
                <c:ptCount val="320"/>
                <c:pt idx="0">
                  <c:v>-23396.626781843137</c:v>
                </c:pt>
                <c:pt idx="1">
                  <c:v>-40589.274646520149</c:v>
                </c:pt>
                <c:pt idx="2">
                  <c:v>-54738.979435316287</c:v>
                </c:pt>
                <c:pt idx="3">
                  <c:v>-80673.972340586013</c:v>
                </c:pt>
                <c:pt idx="4">
                  <c:v>-48983.906844820362</c:v>
                </c:pt>
                <c:pt idx="5">
                  <c:v>-21788.994438463938</c:v>
                </c:pt>
                <c:pt idx="6">
                  <c:v>16106.574343493208</c:v>
                </c:pt>
                <c:pt idx="7">
                  <c:v>74722.573556983261</c:v>
                </c:pt>
                <c:pt idx="8">
                  <c:v>65114.694738529157</c:v>
                </c:pt>
                <c:pt idx="9">
                  <c:v>-24713.516222127946</c:v>
                </c:pt>
                <c:pt idx="10">
                  <c:v>-35078.386815394508</c:v>
                </c:pt>
                <c:pt idx="11">
                  <c:v>41587.256043890025</c:v>
                </c:pt>
                <c:pt idx="12">
                  <c:v>54466.515269455151</c:v>
                </c:pt>
                <c:pt idx="13">
                  <c:v>-38824.672632375965</c:v>
                </c:pt>
                <c:pt idx="14">
                  <c:v>7490.529813800822</c:v>
                </c:pt>
                <c:pt idx="15">
                  <c:v>31047.402063647634</c:v>
                </c:pt>
                <c:pt idx="16">
                  <c:v>-14466.638574450044</c:v>
                </c:pt>
                <c:pt idx="17">
                  <c:v>-17967.734839509358</c:v>
                </c:pt>
                <c:pt idx="18">
                  <c:v>-20588.291941397823</c:v>
                </c:pt>
                <c:pt idx="19">
                  <c:v>-4500.2829324092017</c:v>
                </c:pt>
                <c:pt idx="20">
                  <c:v>-84848.752077705634</c:v>
                </c:pt>
                <c:pt idx="21">
                  <c:v>-2247.007168705517</c:v>
                </c:pt>
                <c:pt idx="22">
                  <c:v>33216.096190231852</c:v>
                </c:pt>
                <c:pt idx="23">
                  <c:v>15763.265457478585</c:v>
                </c:pt>
                <c:pt idx="24">
                  <c:v>-28825.022886868916</c:v>
                </c:pt>
                <c:pt idx="25">
                  <c:v>-112680.30349482025</c:v>
                </c:pt>
                <c:pt idx="26">
                  <c:v>-19187.56667163712</c:v>
                </c:pt>
                <c:pt idx="27">
                  <c:v>-1982.2051082962425</c:v>
                </c:pt>
                <c:pt idx="28">
                  <c:v>-54597.565121964726</c:v>
                </c:pt>
                <c:pt idx="29">
                  <c:v>35273.884643438621</c:v>
                </c:pt>
                <c:pt idx="30">
                  <c:v>5064.9537055502879</c:v>
                </c:pt>
                <c:pt idx="31">
                  <c:v>-50092.283397609252</c:v>
                </c:pt>
                <c:pt idx="32">
                  <c:v>-99075.453786892351</c:v>
                </c:pt>
                <c:pt idx="33">
                  <c:v>-47329.614193545538</c:v>
                </c:pt>
                <c:pt idx="34">
                  <c:v>9811.4259448212106</c:v>
                </c:pt>
                <c:pt idx="35">
                  <c:v>-8535.2947134464048</c:v>
                </c:pt>
                <c:pt idx="36">
                  <c:v>42055.875067052781</c:v>
                </c:pt>
                <c:pt idx="37">
                  <c:v>-41249.791617452633</c:v>
                </c:pt>
                <c:pt idx="38">
                  <c:v>-12094.301091901609</c:v>
                </c:pt>
                <c:pt idx="39">
                  <c:v>-3967.3774898507399</c:v>
                </c:pt>
                <c:pt idx="40">
                  <c:v>4417.2622600748437</c:v>
                </c:pt>
                <c:pt idx="41">
                  <c:v>8801.1888409905368</c:v>
                </c:pt>
                <c:pt idx="42">
                  <c:v>69029.08785512601</c:v>
                </c:pt>
                <c:pt idx="43">
                  <c:v>4527.6321805616608</c:v>
                </c:pt>
                <c:pt idx="44">
                  <c:v>-119858.46516582719</c:v>
                </c:pt>
                <c:pt idx="45">
                  <c:v>-29424.765788684483</c:v>
                </c:pt>
                <c:pt idx="46">
                  <c:v>45989.753125274903</c:v>
                </c:pt>
                <c:pt idx="47">
                  <c:v>26186.059941890649</c:v>
                </c:pt>
                <c:pt idx="48">
                  <c:v>-43005.161184015567</c:v>
                </c:pt>
                <c:pt idx="49">
                  <c:v>3594.0575298904441</c:v>
                </c:pt>
                <c:pt idx="50">
                  <c:v>5119.67701850296</c:v>
                </c:pt>
                <c:pt idx="51">
                  <c:v>24134.723394281114</c:v>
                </c:pt>
                <c:pt idx="52">
                  <c:v>-99951.999509744695</c:v>
                </c:pt>
                <c:pt idx="53">
                  <c:v>22211.565001384588</c:v>
                </c:pt>
                <c:pt idx="54">
                  <c:v>31813.553961634985</c:v>
                </c:pt>
                <c:pt idx="55">
                  <c:v>-49662.841596194368</c:v>
                </c:pt>
                <c:pt idx="56">
                  <c:v>-10161.150369689916</c:v>
                </c:pt>
                <c:pt idx="57">
                  <c:v>-25124.737045928836</c:v>
                </c:pt>
                <c:pt idx="58">
                  <c:v>-51497.728718375205</c:v>
                </c:pt>
                <c:pt idx="59">
                  <c:v>-54496.372349109151</c:v>
                </c:pt>
                <c:pt idx="60">
                  <c:v>57951.797879582387</c:v>
                </c:pt>
                <c:pt idx="61">
                  <c:v>42882.596153215971</c:v>
                </c:pt>
                <c:pt idx="62">
                  <c:v>-11962.920377109898</c:v>
                </c:pt>
                <c:pt idx="63">
                  <c:v>41371.094150976976</c:v>
                </c:pt>
                <c:pt idx="64">
                  <c:v>-24625.628438642598</c:v>
                </c:pt>
                <c:pt idx="65">
                  <c:v>-22386.048004407203</c:v>
                </c:pt>
                <c:pt idx="66">
                  <c:v>-159545.34921086964</c:v>
                </c:pt>
                <c:pt idx="67">
                  <c:v>5163.1553148837993</c:v>
                </c:pt>
                <c:pt idx="68">
                  <c:v>81093.947258593515</c:v>
                </c:pt>
                <c:pt idx="69">
                  <c:v>-11348.700272688933</c:v>
                </c:pt>
                <c:pt idx="70">
                  <c:v>23900.138530391036</c:v>
                </c:pt>
                <c:pt idx="71">
                  <c:v>43893.202803671127</c:v>
                </c:pt>
                <c:pt idx="72">
                  <c:v>24286.882529946859</c:v>
                </c:pt>
                <c:pt idx="73">
                  <c:v>-56455.345427068882</c:v>
                </c:pt>
                <c:pt idx="74">
                  <c:v>92630.743504519342</c:v>
                </c:pt>
                <c:pt idx="75">
                  <c:v>-27963.210606254521</c:v>
                </c:pt>
                <c:pt idx="76">
                  <c:v>-10280.063729639282</c:v>
                </c:pt>
                <c:pt idx="77">
                  <c:v>42807.102380570839</c:v>
                </c:pt>
                <c:pt idx="78">
                  <c:v>51721.538853458012</c:v>
                </c:pt>
                <c:pt idx="79">
                  <c:v>-23075.104466554476</c:v>
                </c:pt>
                <c:pt idx="80">
                  <c:v>-39107.691414364264</c:v>
                </c:pt>
                <c:pt idx="81">
                  <c:v>33691.394678910729</c:v>
                </c:pt>
                <c:pt idx="82">
                  <c:v>64637.530529205338</c:v>
                </c:pt>
                <c:pt idx="83">
                  <c:v>368.90728751698043</c:v>
                </c:pt>
                <c:pt idx="84">
                  <c:v>-1410.3824697458185</c:v>
                </c:pt>
                <c:pt idx="85">
                  <c:v>-36538.832739606267</c:v>
                </c:pt>
                <c:pt idx="86">
                  <c:v>-15777.861594122718</c:v>
                </c:pt>
                <c:pt idx="87">
                  <c:v>-16435.163458375144</c:v>
                </c:pt>
                <c:pt idx="88">
                  <c:v>21755.457781846984</c:v>
                </c:pt>
                <c:pt idx="89">
                  <c:v>-145887.49825806229</c:v>
                </c:pt>
                <c:pt idx="90">
                  <c:v>2237.4343256924767</c:v>
                </c:pt>
                <c:pt idx="91">
                  <c:v>14437.798364212271</c:v>
                </c:pt>
                <c:pt idx="92">
                  <c:v>-9434.9598424386932</c:v>
                </c:pt>
                <c:pt idx="93">
                  <c:v>50092.299131099135</c:v>
                </c:pt>
                <c:pt idx="94">
                  <c:v>56673.539790682495</c:v>
                </c:pt>
                <c:pt idx="95">
                  <c:v>-17922.169680106104</c:v>
                </c:pt>
                <c:pt idx="96">
                  <c:v>-22456.368847186794</c:v>
                </c:pt>
                <c:pt idx="97">
                  <c:v>60317.828572276398</c:v>
                </c:pt>
                <c:pt idx="98">
                  <c:v>-22505.275326767354</c:v>
                </c:pt>
                <c:pt idx="99">
                  <c:v>7881.3132524674293</c:v>
                </c:pt>
                <c:pt idx="100">
                  <c:v>41162.478323775344</c:v>
                </c:pt>
                <c:pt idx="101">
                  <c:v>-44286.779506593593</c:v>
                </c:pt>
                <c:pt idx="102">
                  <c:v>27523.796681808657</c:v>
                </c:pt>
                <c:pt idx="103">
                  <c:v>84798.177160112187</c:v>
                </c:pt>
                <c:pt idx="104">
                  <c:v>38910.187828109134</c:v>
                </c:pt>
                <c:pt idx="105">
                  <c:v>-3073.8266053253319</c:v>
                </c:pt>
                <c:pt idx="106">
                  <c:v>76768.141347562429</c:v>
                </c:pt>
                <c:pt idx="107">
                  <c:v>-1939.1162745676702</c:v>
                </c:pt>
                <c:pt idx="108">
                  <c:v>36794.303905852372</c:v>
                </c:pt>
                <c:pt idx="109">
                  <c:v>16947.442180440761</c:v>
                </c:pt>
                <c:pt idx="110">
                  <c:v>-23166.90868565999</c:v>
                </c:pt>
                <c:pt idx="111">
                  <c:v>112722.72216396674</c:v>
                </c:pt>
                <c:pt idx="112">
                  <c:v>38935.058477346203</c:v>
                </c:pt>
                <c:pt idx="113">
                  <c:v>33051.941057308461</c:v>
                </c:pt>
                <c:pt idx="114">
                  <c:v>-50182.487019258668</c:v>
                </c:pt>
                <c:pt idx="115">
                  <c:v>-41075.971891315421</c:v>
                </c:pt>
                <c:pt idx="116">
                  <c:v>47.99631519196555</c:v>
                </c:pt>
                <c:pt idx="117">
                  <c:v>87296.097406457993</c:v>
                </c:pt>
                <c:pt idx="118">
                  <c:v>-71310.480207910878</c:v>
                </c:pt>
                <c:pt idx="119">
                  <c:v>-4975.8186270925216</c:v>
                </c:pt>
                <c:pt idx="120">
                  <c:v>-53482.204880068835</c:v>
                </c:pt>
                <c:pt idx="121">
                  <c:v>36026.783350614714</c:v>
                </c:pt>
                <c:pt idx="122">
                  <c:v>-32454.983670084155</c:v>
                </c:pt>
                <c:pt idx="123">
                  <c:v>-64254.582701205742</c:v>
                </c:pt>
                <c:pt idx="124">
                  <c:v>76285.972583058174</c:v>
                </c:pt>
                <c:pt idx="125">
                  <c:v>-21552.785960535868</c:v>
                </c:pt>
                <c:pt idx="126">
                  <c:v>39927.543372862041</c:v>
                </c:pt>
                <c:pt idx="127">
                  <c:v>-20106.380810166826</c:v>
                </c:pt>
                <c:pt idx="128">
                  <c:v>21931.25204198854</c:v>
                </c:pt>
                <c:pt idx="129">
                  <c:v>2609.2773674819618</c:v>
                </c:pt>
                <c:pt idx="130">
                  <c:v>-67035.235336851794</c:v>
                </c:pt>
                <c:pt idx="131">
                  <c:v>-17167.500484380987</c:v>
                </c:pt>
                <c:pt idx="132">
                  <c:v>-54908.016204070649</c:v>
                </c:pt>
                <c:pt idx="133">
                  <c:v>-49454.116014564352</c:v>
                </c:pt>
                <c:pt idx="134">
                  <c:v>-9712.9947791201994</c:v>
                </c:pt>
                <c:pt idx="135">
                  <c:v>-20223.005314715789</c:v>
                </c:pt>
                <c:pt idx="136">
                  <c:v>-74463.764339236193</c:v>
                </c:pt>
                <c:pt idx="137">
                  <c:v>36369.103639803943</c:v>
                </c:pt>
                <c:pt idx="138">
                  <c:v>75120.106078310753</c:v>
                </c:pt>
                <c:pt idx="139">
                  <c:v>28361.153977255453</c:v>
                </c:pt>
                <c:pt idx="140">
                  <c:v>37765.580174423987</c:v>
                </c:pt>
                <c:pt idx="141">
                  <c:v>7894.2769953686511</c:v>
                </c:pt>
                <c:pt idx="142">
                  <c:v>37405.885216745897</c:v>
                </c:pt>
                <c:pt idx="143">
                  <c:v>14670.848274462973</c:v>
                </c:pt>
                <c:pt idx="144">
                  <c:v>-16303.097614999395</c:v>
                </c:pt>
                <c:pt idx="145">
                  <c:v>-13593.497124249232</c:v>
                </c:pt>
                <c:pt idx="146">
                  <c:v>16090.198541079648</c:v>
                </c:pt>
                <c:pt idx="147">
                  <c:v>18741.353853696026</c:v>
                </c:pt>
                <c:pt idx="148">
                  <c:v>-40890.951395024313</c:v>
                </c:pt>
                <c:pt idx="149">
                  <c:v>-10616.831130983424</c:v>
                </c:pt>
                <c:pt idx="150">
                  <c:v>22760.745666746167</c:v>
                </c:pt>
                <c:pt idx="151">
                  <c:v>10980.534825027222</c:v>
                </c:pt>
                <c:pt idx="152">
                  <c:v>-15683.210184405791</c:v>
                </c:pt>
                <c:pt idx="153">
                  <c:v>13372.198344959761</c:v>
                </c:pt>
                <c:pt idx="154">
                  <c:v>-39937.166258573881</c:v>
                </c:pt>
                <c:pt idx="155">
                  <c:v>-384.22638123715296</c:v>
                </c:pt>
                <c:pt idx="156">
                  <c:v>-14150.102509110584</c:v>
                </c:pt>
                <c:pt idx="157">
                  <c:v>-27767.950229475158</c:v>
                </c:pt>
                <c:pt idx="158">
                  <c:v>70278.728552476503</c:v>
                </c:pt>
                <c:pt idx="159">
                  <c:v>60131.600393095636</c:v>
                </c:pt>
                <c:pt idx="160">
                  <c:v>-56426.036263536895</c:v>
                </c:pt>
                <c:pt idx="161">
                  <c:v>66877.512257629074</c:v>
                </c:pt>
                <c:pt idx="162">
                  <c:v>-17834.972843340947</c:v>
                </c:pt>
                <c:pt idx="163">
                  <c:v>-17561.167302464019</c:v>
                </c:pt>
                <c:pt idx="164">
                  <c:v>36728.768946809345</c:v>
                </c:pt>
                <c:pt idx="165">
                  <c:v>-30203.475982093718</c:v>
                </c:pt>
                <c:pt idx="166">
                  <c:v>-13448.978296396905</c:v>
                </c:pt>
                <c:pt idx="167">
                  <c:v>2525.6097810168285</c:v>
                </c:pt>
                <c:pt idx="168">
                  <c:v>-25288.935720009264</c:v>
                </c:pt>
                <c:pt idx="169">
                  <c:v>-69310.68791639444</c:v>
                </c:pt>
                <c:pt idx="170">
                  <c:v>40682.273673473625</c:v>
                </c:pt>
                <c:pt idx="171">
                  <c:v>922.53467411349993</c:v>
                </c:pt>
                <c:pt idx="172">
                  <c:v>33681.170755378553</c:v>
                </c:pt>
                <c:pt idx="173">
                  <c:v>-7783.8649610700086</c:v>
                </c:pt>
                <c:pt idx="174">
                  <c:v>-2795.2352716417518</c:v>
                </c:pt>
                <c:pt idx="175">
                  <c:v>8059.6060102516785</c:v>
                </c:pt>
                <c:pt idx="176">
                  <c:v>-1982.4565074355341</c:v>
                </c:pt>
                <c:pt idx="177">
                  <c:v>49632.523313343991</c:v>
                </c:pt>
                <c:pt idx="178">
                  <c:v>7826.9726684617344</c:v>
                </c:pt>
                <c:pt idx="179">
                  <c:v>34001.563883399358</c:v>
                </c:pt>
                <c:pt idx="180">
                  <c:v>4350.1648900639266</c:v>
                </c:pt>
                <c:pt idx="181">
                  <c:v>11308.628579103388</c:v>
                </c:pt>
                <c:pt idx="182">
                  <c:v>6598.4472384188557</c:v>
                </c:pt>
                <c:pt idx="183">
                  <c:v>7271.4418750627665</c:v>
                </c:pt>
                <c:pt idx="184">
                  <c:v>-23486.627724211779</c:v>
                </c:pt>
                <c:pt idx="185">
                  <c:v>17683.092780012754</c:v>
                </c:pt>
                <c:pt idx="186">
                  <c:v>59791.609200068284</c:v>
                </c:pt>
                <c:pt idx="187">
                  <c:v>3507.09281033359</c:v>
                </c:pt>
                <c:pt idx="188">
                  <c:v>37546.818455140456</c:v>
                </c:pt>
                <c:pt idx="189">
                  <c:v>14156.74429058691</c:v>
                </c:pt>
                <c:pt idx="190">
                  <c:v>-5521.701050160802</c:v>
                </c:pt>
                <c:pt idx="191">
                  <c:v>-48068.02695834206</c:v>
                </c:pt>
                <c:pt idx="192">
                  <c:v>-32846.168742094422</c:v>
                </c:pt>
                <c:pt idx="193">
                  <c:v>4933.7345669901697</c:v>
                </c:pt>
                <c:pt idx="194">
                  <c:v>8145.1424212144921</c:v>
                </c:pt>
                <c:pt idx="195">
                  <c:v>-74482.389024564705</c:v>
                </c:pt>
                <c:pt idx="196">
                  <c:v>58391.862800903735</c:v>
                </c:pt>
                <c:pt idx="197">
                  <c:v>-28701.85991488467</c:v>
                </c:pt>
                <c:pt idx="198">
                  <c:v>-16726.406184256542</c:v>
                </c:pt>
                <c:pt idx="199">
                  <c:v>89536.056512310286</c:v>
                </c:pt>
                <c:pt idx="200">
                  <c:v>-31949.59957091033</c:v>
                </c:pt>
                <c:pt idx="201">
                  <c:v>74552.097428550711</c:v>
                </c:pt>
                <c:pt idx="202">
                  <c:v>-70619.376423915499</c:v>
                </c:pt>
                <c:pt idx="203">
                  <c:v>-37447.365648613311</c:v>
                </c:pt>
                <c:pt idx="204">
                  <c:v>-17020.691374868155</c:v>
                </c:pt>
                <c:pt idx="205">
                  <c:v>55472.542886759504</c:v>
                </c:pt>
                <c:pt idx="206">
                  <c:v>-61774.016211703769</c:v>
                </c:pt>
                <c:pt idx="207">
                  <c:v>-79251.394279664033</c:v>
                </c:pt>
                <c:pt idx="208">
                  <c:v>14814.93295536947</c:v>
                </c:pt>
                <c:pt idx="209">
                  <c:v>-65940.620952712488</c:v>
                </c:pt>
                <c:pt idx="210">
                  <c:v>-12783.478901439114</c:v>
                </c:pt>
                <c:pt idx="211">
                  <c:v>-9727.8997977415565</c:v>
                </c:pt>
                <c:pt idx="212">
                  <c:v>36152.103286266443</c:v>
                </c:pt>
                <c:pt idx="213">
                  <c:v>43173.495662944741</c:v>
                </c:pt>
                <c:pt idx="214">
                  <c:v>-14175.746289450326</c:v>
                </c:pt>
                <c:pt idx="215">
                  <c:v>4977.6160121682333</c:v>
                </c:pt>
                <c:pt idx="216">
                  <c:v>21744.13579642179</c:v>
                </c:pt>
                <c:pt idx="217">
                  <c:v>-11361.176274736063</c:v>
                </c:pt>
                <c:pt idx="218">
                  <c:v>40672.399245483102</c:v>
                </c:pt>
                <c:pt idx="219">
                  <c:v>-5473.3414625355508</c:v>
                </c:pt>
                <c:pt idx="220">
                  <c:v>15141.876196693745</c:v>
                </c:pt>
                <c:pt idx="221">
                  <c:v>7138.8004373770673</c:v>
                </c:pt>
                <c:pt idx="222">
                  <c:v>5254.4900530084269</c:v>
                </c:pt>
                <c:pt idx="223">
                  <c:v>-31905.052277921932</c:v>
                </c:pt>
                <c:pt idx="224">
                  <c:v>40571.147932858439</c:v>
                </c:pt>
                <c:pt idx="225">
                  <c:v>12306.40021869872</c:v>
                </c:pt>
                <c:pt idx="226">
                  <c:v>-21476.731081700651</c:v>
                </c:pt>
                <c:pt idx="227">
                  <c:v>22258.791594973474</c:v>
                </c:pt>
                <c:pt idx="228">
                  <c:v>-50818.69585107686</c:v>
                </c:pt>
                <c:pt idx="229">
                  <c:v>57671.717775837751</c:v>
                </c:pt>
                <c:pt idx="230">
                  <c:v>-32197.260877824156</c:v>
                </c:pt>
                <c:pt idx="231">
                  <c:v>26135.095451347879</c:v>
                </c:pt>
                <c:pt idx="232">
                  <c:v>46842.895974721643</c:v>
                </c:pt>
                <c:pt idx="233">
                  <c:v>83826.613294604351</c:v>
                </c:pt>
                <c:pt idx="234">
                  <c:v>8362.8059956963407</c:v>
                </c:pt>
                <c:pt idx="235">
                  <c:v>8085.7998448831495</c:v>
                </c:pt>
                <c:pt idx="236">
                  <c:v>-82033.971156941261</c:v>
                </c:pt>
                <c:pt idx="237">
                  <c:v>-23233.9893119185</c:v>
                </c:pt>
                <c:pt idx="238">
                  <c:v>-13314.499488121481</c:v>
                </c:pt>
                <c:pt idx="239">
                  <c:v>3965.5503800655715</c:v>
                </c:pt>
                <c:pt idx="240">
                  <c:v>25016.265670952736</c:v>
                </c:pt>
                <c:pt idx="241">
                  <c:v>7251.1897042765049</c:v>
                </c:pt>
                <c:pt idx="242">
                  <c:v>-5193.563538994058</c:v>
                </c:pt>
                <c:pt idx="243">
                  <c:v>-10477.961042018491</c:v>
                </c:pt>
                <c:pt idx="244">
                  <c:v>24862.441537567298</c:v>
                </c:pt>
                <c:pt idx="245">
                  <c:v>11580.237017213833</c:v>
                </c:pt>
                <c:pt idx="246">
                  <c:v>-16678.138792572776</c:v>
                </c:pt>
                <c:pt idx="247">
                  <c:v>3948.8317629219964</c:v>
                </c:pt>
                <c:pt idx="248">
                  <c:v>18285.774543538806</c:v>
                </c:pt>
                <c:pt idx="249">
                  <c:v>-8463.9945273931371</c:v>
                </c:pt>
                <c:pt idx="250">
                  <c:v>5350.5959814187372</c:v>
                </c:pt>
                <c:pt idx="251">
                  <c:v>17375.545140076312</c:v>
                </c:pt>
                <c:pt idx="252">
                  <c:v>-19665.83956971881</c:v>
                </c:pt>
                <c:pt idx="253">
                  <c:v>70181.177805456799</c:v>
                </c:pt>
                <c:pt idx="254">
                  <c:v>17019.515658253804</c:v>
                </c:pt>
                <c:pt idx="255">
                  <c:v>-59357.220397502067</c:v>
                </c:pt>
                <c:pt idx="256">
                  <c:v>66620.223475624691</c:v>
                </c:pt>
                <c:pt idx="257">
                  <c:v>2550.0690936011961</c:v>
                </c:pt>
                <c:pt idx="258">
                  <c:v>-14262.861586658517</c:v>
                </c:pt>
                <c:pt idx="259">
                  <c:v>40340.829162560403</c:v>
                </c:pt>
                <c:pt idx="260">
                  <c:v>-424.0676527878968</c:v>
                </c:pt>
                <c:pt idx="261">
                  <c:v>-6525.3598302601604</c:v>
                </c:pt>
                <c:pt idx="262">
                  <c:v>58531.449893885525</c:v>
                </c:pt>
                <c:pt idx="263">
                  <c:v>21193.847606689786</c:v>
                </c:pt>
                <c:pt idx="264">
                  <c:v>-9871.8726875142893</c:v>
                </c:pt>
                <c:pt idx="265">
                  <c:v>38649.283422643784</c:v>
                </c:pt>
                <c:pt idx="266">
                  <c:v>30923.901169023244</c:v>
                </c:pt>
                <c:pt idx="267">
                  <c:v>41432.320506498683</c:v>
                </c:pt>
                <c:pt idx="268">
                  <c:v>-79808.338610787992</c:v>
                </c:pt>
                <c:pt idx="269">
                  <c:v>50476.932587645366</c:v>
                </c:pt>
                <c:pt idx="270">
                  <c:v>-5939.7326649073511</c:v>
                </c:pt>
                <c:pt idx="271">
                  <c:v>-71428.350634973031</c:v>
                </c:pt>
                <c:pt idx="272">
                  <c:v>5221.2574555516476</c:v>
                </c:pt>
                <c:pt idx="273">
                  <c:v>41528.14588468289</c:v>
                </c:pt>
                <c:pt idx="274">
                  <c:v>-8997.2383942551678</c:v>
                </c:pt>
                <c:pt idx="275">
                  <c:v>91668.572257052874</c:v>
                </c:pt>
                <c:pt idx="276">
                  <c:v>-63679.38358230528</c:v>
                </c:pt>
                <c:pt idx="277">
                  <c:v>32899.981247370946</c:v>
                </c:pt>
                <c:pt idx="278">
                  <c:v>9550.190275053028</c:v>
                </c:pt>
                <c:pt idx="279">
                  <c:v>-12997.859893459245</c:v>
                </c:pt>
                <c:pt idx="280">
                  <c:v>-51492.096723981551</c:v>
                </c:pt>
                <c:pt idx="281">
                  <c:v>-36995.910762457526</c:v>
                </c:pt>
                <c:pt idx="282">
                  <c:v>13811.608922852087</c:v>
                </c:pt>
                <c:pt idx="283">
                  <c:v>-8999.4342753458186</c:v>
                </c:pt>
                <c:pt idx="284">
                  <c:v>-12562.979553747107</c:v>
                </c:pt>
                <c:pt idx="285">
                  <c:v>-3323.3819294533459</c:v>
                </c:pt>
                <c:pt idx="286">
                  <c:v>8905.5790149988607</c:v>
                </c:pt>
                <c:pt idx="287">
                  <c:v>-13023.745759743499</c:v>
                </c:pt>
                <c:pt idx="288">
                  <c:v>50188.250314401579</c:v>
                </c:pt>
                <c:pt idx="289">
                  <c:v>-10083.798959154403</c:v>
                </c:pt>
                <c:pt idx="290">
                  <c:v>106192.70634373149</c:v>
                </c:pt>
                <c:pt idx="291">
                  <c:v>-660.51106072228868</c:v>
                </c:pt>
                <c:pt idx="292">
                  <c:v>-49842.176765253185</c:v>
                </c:pt>
                <c:pt idx="293">
                  <c:v>637.0166488212999</c:v>
                </c:pt>
                <c:pt idx="294">
                  <c:v>-9594.7625466982718</c:v>
                </c:pt>
                <c:pt idx="295">
                  <c:v>12161.866473145375</c:v>
                </c:pt>
                <c:pt idx="296">
                  <c:v>-7725.7485264360439</c:v>
                </c:pt>
                <c:pt idx="297">
                  <c:v>80598.237773938221</c:v>
                </c:pt>
                <c:pt idx="298">
                  <c:v>-21437.678101157304</c:v>
                </c:pt>
                <c:pt idx="299">
                  <c:v>-69871.425121836306</c:v>
                </c:pt>
                <c:pt idx="300">
                  <c:v>-24955.196922614006</c:v>
                </c:pt>
                <c:pt idx="301">
                  <c:v>-6421.6194239672041</c:v>
                </c:pt>
                <c:pt idx="302">
                  <c:v>-18634.526272425195</c:v>
                </c:pt>
                <c:pt idx="303">
                  <c:v>51383.354671249981</c:v>
                </c:pt>
                <c:pt idx="304">
                  <c:v>41406.451890726923</c:v>
                </c:pt>
                <c:pt idx="305">
                  <c:v>-93480.754941086867</c:v>
                </c:pt>
                <c:pt idx="306">
                  <c:v>53988.814320102101</c:v>
                </c:pt>
                <c:pt idx="307">
                  <c:v>-49346.588811333291</c:v>
                </c:pt>
                <c:pt idx="308">
                  <c:v>-22282.097101375228</c:v>
                </c:pt>
                <c:pt idx="309">
                  <c:v>-48515.608121502097</c:v>
                </c:pt>
                <c:pt idx="310">
                  <c:v>-20328.170178774977</c:v>
                </c:pt>
                <c:pt idx="311">
                  <c:v>12772.966173886089</c:v>
                </c:pt>
                <c:pt idx="312">
                  <c:v>39492.690647941316</c:v>
                </c:pt>
                <c:pt idx="313">
                  <c:v>-24617.046396170976</c:v>
                </c:pt>
                <c:pt idx="314">
                  <c:v>33445.537383546471</c:v>
                </c:pt>
                <c:pt idx="315">
                  <c:v>33363.594467651565</c:v>
                </c:pt>
                <c:pt idx="316">
                  <c:v>-38789.424119110336</c:v>
                </c:pt>
                <c:pt idx="317">
                  <c:v>24191.533265398582</c:v>
                </c:pt>
                <c:pt idx="318">
                  <c:v>11020.303544730181</c:v>
                </c:pt>
                <c:pt idx="319">
                  <c:v>-21112.599669000367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E0-4143-A529-1A9C79C4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4511"/>
        <c:axId val="20826303"/>
      </c:scatterChart>
      <c:valAx>
        <c:axId val="20824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reg_South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26303"/>
        <c:crosses val="autoZero"/>
        <c:crossBetween val="midCat"/>
      </c:valAx>
      <c:valAx>
        <c:axId val="208263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2451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type_HighStreet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'MR Output'!$L$2:$L$321</c:f>
              <c:numCache>
                <c:formatCode>General</c:formatCode>
                <c:ptCount val="320"/>
              </c:numCache>
            </c:numRef>
          </c:xVal>
          <c:yVal>
            <c:numRef>
              <c:f>'MR Output'!$C$35:$C$354</c:f>
              <c:numCache>
                <c:formatCode>General</c:formatCode>
                <c:ptCount val="320"/>
                <c:pt idx="0">
                  <c:v>-23396.626781843137</c:v>
                </c:pt>
                <c:pt idx="1">
                  <c:v>-40589.274646520149</c:v>
                </c:pt>
                <c:pt idx="2">
                  <c:v>-54738.979435316287</c:v>
                </c:pt>
                <c:pt idx="3">
                  <c:v>-80673.972340586013</c:v>
                </c:pt>
                <c:pt idx="4">
                  <c:v>-48983.906844820362</c:v>
                </c:pt>
                <c:pt idx="5">
                  <c:v>-21788.994438463938</c:v>
                </c:pt>
                <c:pt idx="6">
                  <c:v>16106.574343493208</c:v>
                </c:pt>
                <c:pt idx="7">
                  <c:v>74722.573556983261</c:v>
                </c:pt>
                <c:pt idx="8">
                  <c:v>65114.694738529157</c:v>
                </c:pt>
                <c:pt idx="9">
                  <c:v>-24713.516222127946</c:v>
                </c:pt>
                <c:pt idx="10">
                  <c:v>-35078.386815394508</c:v>
                </c:pt>
                <c:pt idx="11">
                  <c:v>41587.256043890025</c:v>
                </c:pt>
                <c:pt idx="12">
                  <c:v>54466.515269455151</c:v>
                </c:pt>
                <c:pt idx="13">
                  <c:v>-38824.672632375965</c:v>
                </c:pt>
                <c:pt idx="14">
                  <c:v>7490.529813800822</c:v>
                </c:pt>
                <c:pt idx="15">
                  <c:v>31047.402063647634</c:v>
                </c:pt>
                <c:pt idx="16">
                  <c:v>-14466.638574450044</c:v>
                </c:pt>
                <c:pt idx="17">
                  <c:v>-17967.734839509358</c:v>
                </c:pt>
                <c:pt idx="18">
                  <c:v>-20588.291941397823</c:v>
                </c:pt>
                <c:pt idx="19">
                  <c:v>-4500.2829324092017</c:v>
                </c:pt>
                <c:pt idx="20">
                  <c:v>-84848.752077705634</c:v>
                </c:pt>
                <c:pt idx="21">
                  <c:v>-2247.007168705517</c:v>
                </c:pt>
                <c:pt idx="22">
                  <c:v>33216.096190231852</c:v>
                </c:pt>
                <c:pt idx="23">
                  <c:v>15763.265457478585</c:v>
                </c:pt>
                <c:pt idx="24">
                  <c:v>-28825.022886868916</c:v>
                </c:pt>
                <c:pt idx="25">
                  <c:v>-112680.30349482025</c:v>
                </c:pt>
                <c:pt idx="26">
                  <c:v>-19187.56667163712</c:v>
                </c:pt>
                <c:pt idx="27">
                  <c:v>-1982.2051082962425</c:v>
                </c:pt>
                <c:pt idx="28">
                  <c:v>-54597.565121964726</c:v>
                </c:pt>
                <c:pt idx="29">
                  <c:v>35273.884643438621</c:v>
                </c:pt>
                <c:pt idx="30">
                  <c:v>5064.9537055502879</c:v>
                </c:pt>
                <c:pt idx="31">
                  <c:v>-50092.283397609252</c:v>
                </c:pt>
                <c:pt idx="32">
                  <c:v>-99075.453786892351</c:v>
                </c:pt>
                <c:pt idx="33">
                  <c:v>-47329.614193545538</c:v>
                </c:pt>
                <c:pt idx="34">
                  <c:v>9811.4259448212106</c:v>
                </c:pt>
                <c:pt idx="35">
                  <c:v>-8535.2947134464048</c:v>
                </c:pt>
                <c:pt idx="36">
                  <c:v>42055.875067052781</c:v>
                </c:pt>
                <c:pt idx="37">
                  <c:v>-41249.791617452633</c:v>
                </c:pt>
                <c:pt idx="38">
                  <c:v>-12094.301091901609</c:v>
                </c:pt>
                <c:pt idx="39">
                  <c:v>-3967.3774898507399</c:v>
                </c:pt>
                <c:pt idx="40">
                  <c:v>4417.2622600748437</c:v>
                </c:pt>
                <c:pt idx="41">
                  <c:v>8801.1888409905368</c:v>
                </c:pt>
                <c:pt idx="42">
                  <c:v>69029.08785512601</c:v>
                </c:pt>
                <c:pt idx="43">
                  <c:v>4527.6321805616608</c:v>
                </c:pt>
                <c:pt idx="44">
                  <c:v>-119858.46516582719</c:v>
                </c:pt>
                <c:pt idx="45">
                  <c:v>-29424.765788684483</c:v>
                </c:pt>
                <c:pt idx="46">
                  <c:v>45989.753125274903</c:v>
                </c:pt>
                <c:pt idx="47">
                  <c:v>26186.059941890649</c:v>
                </c:pt>
                <c:pt idx="48">
                  <c:v>-43005.161184015567</c:v>
                </c:pt>
                <c:pt idx="49">
                  <c:v>3594.0575298904441</c:v>
                </c:pt>
                <c:pt idx="50">
                  <c:v>5119.67701850296</c:v>
                </c:pt>
                <c:pt idx="51">
                  <c:v>24134.723394281114</c:v>
                </c:pt>
                <c:pt idx="52">
                  <c:v>-99951.999509744695</c:v>
                </c:pt>
                <c:pt idx="53">
                  <c:v>22211.565001384588</c:v>
                </c:pt>
                <c:pt idx="54">
                  <c:v>31813.553961634985</c:v>
                </c:pt>
                <c:pt idx="55">
                  <c:v>-49662.841596194368</c:v>
                </c:pt>
                <c:pt idx="56">
                  <c:v>-10161.150369689916</c:v>
                </c:pt>
                <c:pt idx="57">
                  <c:v>-25124.737045928836</c:v>
                </c:pt>
                <c:pt idx="58">
                  <c:v>-51497.728718375205</c:v>
                </c:pt>
                <c:pt idx="59">
                  <c:v>-54496.372349109151</c:v>
                </c:pt>
                <c:pt idx="60">
                  <c:v>57951.797879582387</c:v>
                </c:pt>
                <c:pt idx="61">
                  <c:v>42882.596153215971</c:v>
                </c:pt>
                <c:pt idx="62">
                  <c:v>-11962.920377109898</c:v>
                </c:pt>
                <c:pt idx="63">
                  <c:v>41371.094150976976</c:v>
                </c:pt>
                <c:pt idx="64">
                  <c:v>-24625.628438642598</c:v>
                </c:pt>
                <c:pt idx="65">
                  <c:v>-22386.048004407203</c:v>
                </c:pt>
                <c:pt idx="66">
                  <c:v>-159545.34921086964</c:v>
                </c:pt>
                <c:pt idx="67">
                  <c:v>5163.1553148837993</c:v>
                </c:pt>
                <c:pt idx="68">
                  <c:v>81093.947258593515</c:v>
                </c:pt>
                <c:pt idx="69">
                  <c:v>-11348.700272688933</c:v>
                </c:pt>
                <c:pt idx="70">
                  <c:v>23900.138530391036</c:v>
                </c:pt>
                <c:pt idx="71">
                  <c:v>43893.202803671127</c:v>
                </c:pt>
                <c:pt idx="72">
                  <c:v>24286.882529946859</c:v>
                </c:pt>
                <c:pt idx="73">
                  <c:v>-56455.345427068882</c:v>
                </c:pt>
                <c:pt idx="74">
                  <c:v>92630.743504519342</c:v>
                </c:pt>
                <c:pt idx="75">
                  <c:v>-27963.210606254521</c:v>
                </c:pt>
                <c:pt idx="76">
                  <c:v>-10280.063729639282</c:v>
                </c:pt>
                <c:pt idx="77">
                  <c:v>42807.102380570839</c:v>
                </c:pt>
                <c:pt idx="78">
                  <c:v>51721.538853458012</c:v>
                </c:pt>
                <c:pt idx="79">
                  <c:v>-23075.104466554476</c:v>
                </c:pt>
                <c:pt idx="80">
                  <c:v>-39107.691414364264</c:v>
                </c:pt>
                <c:pt idx="81">
                  <c:v>33691.394678910729</c:v>
                </c:pt>
                <c:pt idx="82">
                  <c:v>64637.530529205338</c:v>
                </c:pt>
                <c:pt idx="83">
                  <c:v>368.90728751698043</c:v>
                </c:pt>
                <c:pt idx="84">
                  <c:v>-1410.3824697458185</c:v>
                </c:pt>
                <c:pt idx="85">
                  <c:v>-36538.832739606267</c:v>
                </c:pt>
                <c:pt idx="86">
                  <c:v>-15777.861594122718</c:v>
                </c:pt>
                <c:pt idx="87">
                  <c:v>-16435.163458375144</c:v>
                </c:pt>
                <c:pt idx="88">
                  <c:v>21755.457781846984</c:v>
                </c:pt>
                <c:pt idx="89">
                  <c:v>-145887.49825806229</c:v>
                </c:pt>
                <c:pt idx="90">
                  <c:v>2237.4343256924767</c:v>
                </c:pt>
                <c:pt idx="91">
                  <c:v>14437.798364212271</c:v>
                </c:pt>
                <c:pt idx="92">
                  <c:v>-9434.9598424386932</c:v>
                </c:pt>
                <c:pt idx="93">
                  <c:v>50092.299131099135</c:v>
                </c:pt>
                <c:pt idx="94">
                  <c:v>56673.539790682495</c:v>
                </c:pt>
                <c:pt idx="95">
                  <c:v>-17922.169680106104</c:v>
                </c:pt>
                <c:pt idx="96">
                  <c:v>-22456.368847186794</c:v>
                </c:pt>
                <c:pt idx="97">
                  <c:v>60317.828572276398</c:v>
                </c:pt>
                <c:pt idx="98">
                  <c:v>-22505.275326767354</c:v>
                </c:pt>
                <c:pt idx="99">
                  <c:v>7881.3132524674293</c:v>
                </c:pt>
                <c:pt idx="100">
                  <c:v>41162.478323775344</c:v>
                </c:pt>
                <c:pt idx="101">
                  <c:v>-44286.779506593593</c:v>
                </c:pt>
                <c:pt idx="102">
                  <c:v>27523.796681808657</c:v>
                </c:pt>
                <c:pt idx="103">
                  <c:v>84798.177160112187</c:v>
                </c:pt>
                <c:pt idx="104">
                  <c:v>38910.187828109134</c:v>
                </c:pt>
                <c:pt idx="105">
                  <c:v>-3073.8266053253319</c:v>
                </c:pt>
                <c:pt idx="106">
                  <c:v>76768.141347562429</c:v>
                </c:pt>
                <c:pt idx="107">
                  <c:v>-1939.1162745676702</c:v>
                </c:pt>
                <c:pt idx="108">
                  <c:v>36794.303905852372</c:v>
                </c:pt>
                <c:pt idx="109">
                  <c:v>16947.442180440761</c:v>
                </c:pt>
                <c:pt idx="110">
                  <c:v>-23166.90868565999</c:v>
                </c:pt>
                <c:pt idx="111">
                  <c:v>112722.72216396674</c:v>
                </c:pt>
                <c:pt idx="112">
                  <c:v>38935.058477346203</c:v>
                </c:pt>
                <c:pt idx="113">
                  <c:v>33051.941057308461</c:v>
                </c:pt>
                <c:pt idx="114">
                  <c:v>-50182.487019258668</c:v>
                </c:pt>
                <c:pt idx="115">
                  <c:v>-41075.971891315421</c:v>
                </c:pt>
                <c:pt idx="116">
                  <c:v>47.99631519196555</c:v>
                </c:pt>
                <c:pt idx="117">
                  <c:v>87296.097406457993</c:v>
                </c:pt>
                <c:pt idx="118">
                  <c:v>-71310.480207910878</c:v>
                </c:pt>
                <c:pt idx="119">
                  <c:v>-4975.8186270925216</c:v>
                </c:pt>
                <c:pt idx="120">
                  <c:v>-53482.204880068835</c:v>
                </c:pt>
                <c:pt idx="121">
                  <c:v>36026.783350614714</c:v>
                </c:pt>
                <c:pt idx="122">
                  <c:v>-32454.983670084155</c:v>
                </c:pt>
                <c:pt idx="123">
                  <c:v>-64254.582701205742</c:v>
                </c:pt>
                <c:pt idx="124">
                  <c:v>76285.972583058174</c:v>
                </c:pt>
                <c:pt idx="125">
                  <c:v>-21552.785960535868</c:v>
                </c:pt>
                <c:pt idx="126">
                  <c:v>39927.543372862041</c:v>
                </c:pt>
                <c:pt idx="127">
                  <c:v>-20106.380810166826</c:v>
                </c:pt>
                <c:pt idx="128">
                  <c:v>21931.25204198854</c:v>
                </c:pt>
                <c:pt idx="129">
                  <c:v>2609.2773674819618</c:v>
                </c:pt>
                <c:pt idx="130">
                  <c:v>-67035.235336851794</c:v>
                </c:pt>
                <c:pt idx="131">
                  <c:v>-17167.500484380987</c:v>
                </c:pt>
                <c:pt idx="132">
                  <c:v>-54908.016204070649</c:v>
                </c:pt>
                <c:pt idx="133">
                  <c:v>-49454.116014564352</c:v>
                </c:pt>
                <c:pt idx="134">
                  <c:v>-9712.9947791201994</c:v>
                </c:pt>
                <c:pt idx="135">
                  <c:v>-20223.005314715789</c:v>
                </c:pt>
                <c:pt idx="136">
                  <c:v>-74463.764339236193</c:v>
                </c:pt>
                <c:pt idx="137">
                  <c:v>36369.103639803943</c:v>
                </c:pt>
                <c:pt idx="138">
                  <c:v>75120.106078310753</c:v>
                </c:pt>
                <c:pt idx="139">
                  <c:v>28361.153977255453</c:v>
                </c:pt>
                <c:pt idx="140">
                  <c:v>37765.580174423987</c:v>
                </c:pt>
                <c:pt idx="141">
                  <c:v>7894.2769953686511</c:v>
                </c:pt>
                <c:pt idx="142">
                  <c:v>37405.885216745897</c:v>
                </c:pt>
                <c:pt idx="143">
                  <c:v>14670.848274462973</c:v>
                </c:pt>
                <c:pt idx="144">
                  <c:v>-16303.097614999395</c:v>
                </c:pt>
                <c:pt idx="145">
                  <c:v>-13593.497124249232</c:v>
                </c:pt>
                <c:pt idx="146">
                  <c:v>16090.198541079648</c:v>
                </c:pt>
                <c:pt idx="147">
                  <c:v>18741.353853696026</c:v>
                </c:pt>
                <c:pt idx="148">
                  <c:v>-40890.951395024313</c:v>
                </c:pt>
                <c:pt idx="149">
                  <c:v>-10616.831130983424</c:v>
                </c:pt>
                <c:pt idx="150">
                  <c:v>22760.745666746167</c:v>
                </c:pt>
                <c:pt idx="151">
                  <c:v>10980.534825027222</c:v>
                </c:pt>
                <c:pt idx="152">
                  <c:v>-15683.210184405791</c:v>
                </c:pt>
                <c:pt idx="153">
                  <c:v>13372.198344959761</c:v>
                </c:pt>
                <c:pt idx="154">
                  <c:v>-39937.166258573881</c:v>
                </c:pt>
                <c:pt idx="155">
                  <c:v>-384.22638123715296</c:v>
                </c:pt>
                <c:pt idx="156">
                  <c:v>-14150.102509110584</c:v>
                </c:pt>
                <c:pt idx="157">
                  <c:v>-27767.950229475158</c:v>
                </c:pt>
                <c:pt idx="158">
                  <c:v>70278.728552476503</c:v>
                </c:pt>
                <c:pt idx="159">
                  <c:v>60131.600393095636</c:v>
                </c:pt>
                <c:pt idx="160">
                  <c:v>-56426.036263536895</c:v>
                </c:pt>
                <c:pt idx="161">
                  <c:v>66877.512257629074</c:v>
                </c:pt>
                <c:pt idx="162">
                  <c:v>-17834.972843340947</c:v>
                </c:pt>
                <c:pt idx="163">
                  <c:v>-17561.167302464019</c:v>
                </c:pt>
                <c:pt idx="164">
                  <c:v>36728.768946809345</c:v>
                </c:pt>
                <c:pt idx="165">
                  <c:v>-30203.475982093718</c:v>
                </c:pt>
                <c:pt idx="166">
                  <c:v>-13448.978296396905</c:v>
                </c:pt>
                <c:pt idx="167">
                  <c:v>2525.6097810168285</c:v>
                </c:pt>
                <c:pt idx="168">
                  <c:v>-25288.935720009264</c:v>
                </c:pt>
                <c:pt idx="169">
                  <c:v>-69310.68791639444</c:v>
                </c:pt>
                <c:pt idx="170">
                  <c:v>40682.273673473625</c:v>
                </c:pt>
                <c:pt idx="171">
                  <c:v>922.53467411349993</c:v>
                </c:pt>
                <c:pt idx="172">
                  <c:v>33681.170755378553</c:v>
                </c:pt>
                <c:pt idx="173">
                  <c:v>-7783.8649610700086</c:v>
                </c:pt>
                <c:pt idx="174">
                  <c:v>-2795.2352716417518</c:v>
                </c:pt>
                <c:pt idx="175">
                  <c:v>8059.6060102516785</c:v>
                </c:pt>
                <c:pt idx="176">
                  <c:v>-1982.4565074355341</c:v>
                </c:pt>
                <c:pt idx="177">
                  <c:v>49632.523313343991</c:v>
                </c:pt>
                <c:pt idx="178">
                  <c:v>7826.9726684617344</c:v>
                </c:pt>
                <c:pt idx="179">
                  <c:v>34001.563883399358</c:v>
                </c:pt>
                <c:pt idx="180">
                  <c:v>4350.1648900639266</c:v>
                </c:pt>
                <c:pt idx="181">
                  <c:v>11308.628579103388</c:v>
                </c:pt>
                <c:pt idx="182">
                  <c:v>6598.4472384188557</c:v>
                </c:pt>
                <c:pt idx="183">
                  <c:v>7271.4418750627665</c:v>
                </c:pt>
                <c:pt idx="184">
                  <c:v>-23486.627724211779</c:v>
                </c:pt>
                <c:pt idx="185">
                  <c:v>17683.092780012754</c:v>
                </c:pt>
                <c:pt idx="186">
                  <c:v>59791.609200068284</c:v>
                </c:pt>
                <c:pt idx="187">
                  <c:v>3507.09281033359</c:v>
                </c:pt>
                <c:pt idx="188">
                  <c:v>37546.818455140456</c:v>
                </c:pt>
                <c:pt idx="189">
                  <c:v>14156.74429058691</c:v>
                </c:pt>
                <c:pt idx="190">
                  <c:v>-5521.701050160802</c:v>
                </c:pt>
                <c:pt idx="191">
                  <c:v>-48068.02695834206</c:v>
                </c:pt>
                <c:pt idx="192">
                  <c:v>-32846.168742094422</c:v>
                </c:pt>
                <c:pt idx="193">
                  <c:v>4933.7345669901697</c:v>
                </c:pt>
                <c:pt idx="194">
                  <c:v>8145.1424212144921</c:v>
                </c:pt>
                <c:pt idx="195">
                  <c:v>-74482.389024564705</c:v>
                </c:pt>
                <c:pt idx="196">
                  <c:v>58391.862800903735</c:v>
                </c:pt>
                <c:pt idx="197">
                  <c:v>-28701.85991488467</c:v>
                </c:pt>
                <c:pt idx="198">
                  <c:v>-16726.406184256542</c:v>
                </c:pt>
                <c:pt idx="199">
                  <c:v>89536.056512310286</c:v>
                </c:pt>
                <c:pt idx="200">
                  <c:v>-31949.59957091033</c:v>
                </c:pt>
                <c:pt idx="201">
                  <c:v>74552.097428550711</c:v>
                </c:pt>
                <c:pt idx="202">
                  <c:v>-70619.376423915499</c:v>
                </c:pt>
                <c:pt idx="203">
                  <c:v>-37447.365648613311</c:v>
                </c:pt>
                <c:pt idx="204">
                  <c:v>-17020.691374868155</c:v>
                </c:pt>
                <c:pt idx="205">
                  <c:v>55472.542886759504</c:v>
                </c:pt>
                <c:pt idx="206">
                  <c:v>-61774.016211703769</c:v>
                </c:pt>
                <c:pt idx="207">
                  <c:v>-79251.394279664033</c:v>
                </c:pt>
                <c:pt idx="208">
                  <c:v>14814.93295536947</c:v>
                </c:pt>
                <c:pt idx="209">
                  <c:v>-65940.620952712488</c:v>
                </c:pt>
                <c:pt idx="210">
                  <c:v>-12783.478901439114</c:v>
                </c:pt>
                <c:pt idx="211">
                  <c:v>-9727.8997977415565</c:v>
                </c:pt>
                <c:pt idx="212">
                  <c:v>36152.103286266443</c:v>
                </c:pt>
                <c:pt idx="213">
                  <c:v>43173.495662944741</c:v>
                </c:pt>
                <c:pt idx="214">
                  <c:v>-14175.746289450326</c:v>
                </c:pt>
                <c:pt idx="215">
                  <c:v>4977.6160121682333</c:v>
                </c:pt>
                <c:pt idx="216">
                  <c:v>21744.13579642179</c:v>
                </c:pt>
                <c:pt idx="217">
                  <c:v>-11361.176274736063</c:v>
                </c:pt>
                <c:pt idx="218">
                  <c:v>40672.399245483102</c:v>
                </c:pt>
                <c:pt idx="219">
                  <c:v>-5473.3414625355508</c:v>
                </c:pt>
                <c:pt idx="220">
                  <c:v>15141.876196693745</c:v>
                </c:pt>
                <c:pt idx="221">
                  <c:v>7138.8004373770673</c:v>
                </c:pt>
                <c:pt idx="222">
                  <c:v>5254.4900530084269</c:v>
                </c:pt>
                <c:pt idx="223">
                  <c:v>-31905.052277921932</c:v>
                </c:pt>
                <c:pt idx="224">
                  <c:v>40571.147932858439</c:v>
                </c:pt>
                <c:pt idx="225">
                  <c:v>12306.40021869872</c:v>
                </c:pt>
                <c:pt idx="226">
                  <c:v>-21476.731081700651</c:v>
                </c:pt>
                <c:pt idx="227">
                  <c:v>22258.791594973474</c:v>
                </c:pt>
                <c:pt idx="228">
                  <c:v>-50818.69585107686</c:v>
                </c:pt>
                <c:pt idx="229">
                  <c:v>57671.717775837751</c:v>
                </c:pt>
                <c:pt idx="230">
                  <c:v>-32197.260877824156</c:v>
                </c:pt>
                <c:pt idx="231">
                  <c:v>26135.095451347879</c:v>
                </c:pt>
                <c:pt idx="232">
                  <c:v>46842.895974721643</c:v>
                </c:pt>
                <c:pt idx="233">
                  <c:v>83826.613294604351</c:v>
                </c:pt>
                <c:pt idx="234">
                  <c:v>8362.8059956963407</c:v>
                </c:pt>
                <c:pt idx="235">
                  <c:v>8085.7998448831495</c:v>
                </c:pt>
                <c:pt idx="236">
                  <c:v>-82033.971156941261</c:v>
                </c:pt>
                <c:pt idx="237">
                  <c:v>-23233.9893119185</c:v>
                </c:pt>
                <c:pt idx="238">
                  <c:v>-13314.499488121481</c:v>
                </c:pt>
                <c:pt idx="239">
                  <c:v>3965.5503800655715</c:v>
                </c:pt>
                <c:pt idx="240">
                  <c:v>25016.265670952736</c:v>
                </c:pt>
                <c:pt idx="241">
                  <c:v>7251.1897042765049</c:v>
                </c:pt>
                <c:pt idx="242">
                  <c:v>-5193.563538994058</c:v>
                </c:pt>
                <c:pt idx="243">
                  <c:v>-10477.961042018491</c:v>
                </c:pt>
                <c:pt idx="244">
                  <c:v>24862.441537567298</c:v>
                </c:pt>
                <c:pt idx="245">
                  <c:v>11580.237017213833</c:v>
                </c:pt>
                <c:pt idx="246">
                  <c:v>-16678.138792572776</c:v>
                </c:pt>
                <c:pt idx="247">
                  <c:v>3948.8317629219964</c:v>
                </c:pt>
                <c:pt idx="248">
                  <c:v>18285.774543538806</c:v>
                </c:pt>
                <c:pt idx="249">
                  <c:v>-8463.9945273931371</c:v>
                </c:pt>
                <c:pt idx="250">
                  <c:v>5350.5959814187372</c:v>
                </c:pt>
                <c:pt idx="251">
                  <c:v>17375.545140076312</c:v>
                </c:pt>
                <c:pt idx="252">
                  <c:v>-19665.83956971881</c:v>
                </c:pt>
                <c:pt idx="253">
                  <c:v>70181.177805456799</c:v>
                </c:pt>
                <c:pt idx="254">
                  <c:v>17019.515658253804</c:v>
                </c:pt>
                <c:pt idx="255">
                  <c:v>-59357.220397502067</c:v>
                </c:pt>
                <c:pt idx="256">
                  <c:v>66620.223475624691</c:v>
                </c:pt>
                <c:pt idx="257">
                  <c:v>2550.0690936011961</c:v>
                </c:pt>
                <c:pt idx="258">
                  <c:v>-14262.861586658517</c:v>
                </c:pt>
                <c:pt idx="259">
                  <c:v>40340.829162560403</c:v>
                </c:pt>
                <c:pt idx="260">
                  <c:v>-424.0676527878968</c:v>
                </c:pt>
                <c:pt idx="261">
                  <c:v>-6525.3598302601604</c:v>
                </c:pt>
                <c:pt idx="262">
                  <c:v>58531.449893885525</c:v>
                </c:pt>
                <c:pt idx="263">
                  <c:v>21193.847606689786</c:v>
                </c:pt>
                <c:pt idx="264">
                  <c:v>-9871.8726875142893</c:v>
                </c:pt>
                <c:pt idx="265">
                  <c:v>38649.283422643784</c:v>
                </c:pt>
                <c:pt idx="266">
                  <c:v>30923.901169023244</c:v>
                </c:pt>
                <c:pt idx="267">
                  <c:v>41432.320506498683</c:v>
                </c:pt>
                <c:pt idx="268">
                  <c:v>-79808.338610787992</c:v>
                </c:pt>
                <c:pt idx="269">
                  <c:v>50476.932587645366</c:v>
                </c:pt>
                <c:pt idx="270">
                  <c:v>-5939.7326649073511</c:v>
                </c:pt>
                <c:pt idx="271">
                  <c:v>-71428.350634973031</c:v>
                </c:pt>
                <c:pt idx="272">
                  <c:v>5221.2574555516476</c:v>
                </c:pt>
                <c:pt idx="273">
                  <c:v>41528.14588468289</c:v>
                </c:pt>
                <c:pt idx="274">
                  <c:v>-8997.2383942551678</c:v>
                </c:pt>
                <c:pt idx="275">
                  <c:v>91668.572257052874</c:v>
                </c:pt>
                <c:pt idx="276">
                  <c:v>-63679.38358230528</c:v>
                </c:pt>
                <c:pt idx="277">
                  <c:v>32899.981247370946</c:v>
                </c:pt>
                <c:pt idx="278">
                  <c:v>9550.190275053028</c:v>
                </c:pt>
                <c:pt idx="279">
                  <c:v>-12997.859893459245</c:v>
                </c:pt>
                <c:pt idx="280">
                  <c:v>-51492.096723981551</c:v>
                </c:pt>
                <c:pt idx="281">
                  <c:v>-36995.910762457526</c:v>
                </c:pt>
                <c:pt idx="282">
                  <c:v>13811.608922852087</c:v>
                </c:pt>
                <c:pt idx="283">
                  <c:v>-8999.4342753458186</c:v>
                </c:pt>
                <c:pt idx="284">
                  <c:v>-12562.979553747107</c:v>
                </c:pt>
                <c:pt idx="285">
                  <c:v>-3323.3819294533459</c:v>
                </c:pt>
                <c:pt idx="286">
                  <c:v>8905.5790149988607</c:v>
                </c:pt>
                <c:pt idx="287">
                  <c:v>-13023.745759743499</c:v>
                </c:pt>
                <c:pt idx="288">
                  <c:v>50188.250314401579</c:v>
                </c:pt>
                <c:pt idx="289">
                  <c:v>-10083.798959154403</c:v>
                </c:pt>
                <c:pt idx="290">
                  <c:v>106192.70634373149</c:v>
                </c:pt>
                <c:pt idx="291">
                  <c:v>-660.51106072228868</c:v>
                </c:pt>
                <c:pt idx="292">
                  <c:v>-49842.176765253185</c:v>
                </c:pt>
                <c:pt idx="293">
                  <c:v>637.0166488212999</c:v>
                </c:pt>
                <c:pt idx="294">
                  <c:v>-9594.7625466982718</c:v>
                </c:pt>
                <c:pt idx="295">
                  <c:v>12161.866473145375</c:v>
                </c:pt>
                <c:pt idx="296">
                  <c:v>-7725.7485264360439</c:v>
                </c:pt>
                <c:pt idx="297">
                  <c:v>80598.237773938221</c:v>
                </c:pt>
                <c:pt idx="298">
                  <c:v>-21437.678101157304</c:v>
                </c:pt>
                <c:pt idx="299">
                  <c:v>-69871.425121836306</c:v>
                </c:pt>
                <c:pt idx="300">
                  <c:v>-24955.196922614006</c:v>
                </c:pt>
                <c:pt idx="301">
                  <c:v>-6421.6194239672041</c:v>
                </c:pt>
                <c:pt idx="302">
                  <c:v>-18634.526272425195</c:v>
                </c:pt>
                <c:pt idx="303">
                  <c:v>51383.354671249981</c:v>
                </c:pt>
                <c:pt idx="304">
                  <c:v>41406.451890726923</c:v>
                </c:pt>
                <c:pt idx="305">
                  <c:v>-93480.754941086867</c:v>
                </c:pt>
                <c:pt idx="306">
                  <c:v>53988.814320102101</c:v>
                </c:pt>
                <c:pt idx="307">
                  <c:v>-49346.588811333291</c:v>
                </c:pt>
                <c:pt idx="308">
                  <c:v>-22282.097101375228</c:v>
                </c:pt>
                <c:pt idx="309">
                  <c:v>-48515.608121502097</c:v>
                </c:pt>
                <c:pt idx="310">
                  <c:v>-20328.170178774977</c:v>
                </c:pt>
                <c:pt idx="311">
                  <c:v>12772.966173886089</c:v>
                </c:pt>
                <c:pt idx="312">
                  <c:v>39492.690647941316</c:v>
                </c:pt>
                <c:pt idx="313">
                  <c:v>-24617.046396170976</c:v>
                </c:pt>
                <c:pt idx="314">
                  <c:v>33445.537383546471</c:v>
                </c:pt>
                <c:pt idx="315">
                  <c:v>33363.594467651565</c:v>
                </c:pt>
                <c:pt idx="316">
                  <c:v>-38789.424119110336</c:v>
                </c:pt>
                <c:pt idx="317">
                  <c:v>24191.533265398582</c:v>
                </c:pt>
                <c:pt idx="318">
                  <c:v>11020.303544730181</c:v>
                </c:pt>
                <c:pt idx="319">
                  <c:v>-21112.599669000367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7-5849-8195-4665F1A33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6607"/>
        <c:axId val="20838399"/>
      </c:scatterChart>
      <c:valAx>
        <c:axId val="20836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type_HighStreet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38399"/>
        <c:crosses val="autoZero"/>
        <c:crossBetween val="midCat"/>
      </c:valAx>
      <c:valAx>
        <c:axId val="208383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366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type_Residential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'MR Output'!$M$2:$M$321</c:f>
              <c:numCache>
                <c:formatCode>General</c:formatCode>
                <c:ptCount val="320"/>
              </c:numCache>
            </c:numRef>
          </c:xVal>
          <c:yVal>
            <c:numRef>
              <c:f>'MR Output'!$C$35:$C$354</c:f>
              <c:numCache>
                <c:formatCode>General</c:formatCode>
                <c:ptCount val="320"/>
                <c:pt idx="0">
                  <c:v>-23396.626781843137</c:v>
                </c:pt>
                <c:pt idx="1">
                  <c:v>-40589.274646520149</c:v>
                </c:pt>
                <c:pt idx="2">
                  <c:v>-54738.979435316287</c:v>
                </c:pt>
                <c:pt idx="3">
                  <c:v>-80673.972340586013</c:v>
                </c:pt>
                <c:pt idx="4">
                  <c:v>-48983.906844820362</c:v>
                </c:pt>
                <c:pt idx="5">
                  <c:v>-21788.994438463938</c:v>
                </c:pt>
                <c:pt idx="6">
                  <c:v>16106.574343493208</c:v>
                </c:pt>
                <c:pt idx="7">
                  <c:v>74722.573556983261</c:v>
                </c:pt>
                <c:pt idx="8">
                  <c:v>65114.694738529157</c:v>
                </c:pt>
                <c:pt idx="9">
                  <c:v>-24713.516222127946</c:v>
                </c:pt>
                <c:pt idx="10">
                  <c:v>-35078.386815394508</c:v>
                </c:pt>
                <c:pt idx="11">
                  <c:v>41587.256043890025</c:v>
                </c:pt>
                <c:pt idx="12">
                  <c:v>54466.515269455151</c:v>
                </c:pt>
                <c:pt idx="13">
                  <c:v>-38824.672632375965</c:v>
                </c:pt>
                <c:pt idx="14">
                  <c:v>7490.529813800822</c:v>
                </c:pt>
                <c:pt idx="15">
                  <c:v>31047.402063647634</c:v>
                </c:pt>
                <c:pt idx="16">
                  <c:v>-14466.638574450044</c:v>
                </c:pt>
                <c:pt idx="17">
                  <c:v>-17967.734839509358</c:v>
                </c:pt>
                <c:pt idx="18">
                  <c:v>-20588.291941397823</c:v>
                </c:pt>
                <c:pt idx="19">
                  <c:v>-4500.2829324092017</c:v>
                </c:pt>
                <c:pt idx="20">
                  <c:v>-84848.752077705634</c:v>
                </c:pt>
                <c:pt idx="21">
                  <c:v>-2247.007168705517</c:v>
                </c:pt>
                <c:pt idx="22">
                  <c:v>33216.096190231852</c:v>
                </c:pt>
                <c:pt idx="23">
                  <c:v>15763.265457478585</c:v>
                </c:pt>
                <c:pt idx="24">
                  <c:v>-28825.022886868916</c:v>
                </c:pt>
                <c:pt idx="25">
                  <c:v>-112680.30349482025</c:v>
                </c:pt>
                <c:pt idx="26">
                  <c:v>-19187.56667163712</c:v>
                </c:pt>
                <c:pt idx="27">
                  <c:v>-1982.2051082962425</c:v>
                </c:pt>
                <c:pt idx="28">
                  <c:v>-54597.565121964726</c:v>
                </c:pt>
                <c:pt idx="29">
                  <c:v>35273.884643438621</c:v>
                </c:pt>
                <c:pt idx="30">
                  <c:v>5064.9537055502879</c:v>
                </c:pt>
                <c:pt idx="31">
                  <c:v>-50092.283397609252</c:v>
                </c:pt>
                <c:pt idx="32">
                  <c:v>-99075.453786892351</c:v>
                </c:pt>
                <c:pt idx="33">
                  <c:v>-47329.614193545538</c:v>
                </c:pt>
                <c:pt idx="34">
                  <c:v>9811.4259448212106</c:v>
                </c:pt>
                <c:pt idx="35">
                  <c:v>-8535.2947134464048</c:v>
                </c:pt>
                <c:pt idx="36">
                  <c:v>42055.875067052781</c:v>
                </c:pt>
                <c:pt idx="37">
                  <c:v>-41249.791617452633</c:v>
                </c:pt>
                <c:pt idx="38">
                  <c:v>-12094.301091901609</c:v>
                </c:pt>
                <c:pt idx="39">
                  <c:v>-3967.3774898507399</c:v>
                </c:pt>
                <c:pt idx="40">
                  <c:v>4417.2622600748437</c:v>
                </c:pt>
                <c:pt idx="41">
                  <c:v>8801.1888409905368</c:v>
                </c:pt>
                <c:pt idx="42">
                  <c:v>69029.08785512601</c:v>
                </c:pt>
                <c:pt idx="43">
                  <c:v>4527.6321805616608</c:v>
                </c:pt>
                <c:pt idx="44">
                  <c:v>-119858.46516582719</c:v>
                </c:pt>
                <c:pt idx="45">
                  <c:v>-29424.765788684483</c:v>
                </c:pt>
                <c:pt idx="46">
                  <c:v>45989.753125274903</c:v>
                </c:pt>
                <c:pt idx="47">
                  <c:v>26186.059941890649</c:v>
                </c:pt>
                <c:pt idx="48">
                  <c:v>-43005.161184015567</c:v>
                </c:pt>
                <c:pt idx="49">
                  <c:v>3594.0575298904441</c:v>
                </c:pt>
                <c:pt idx="50">
                  <c:v>5119.67701850296</c:v>
                </c:pt>
                <c:pt idx="51">
                  <c:v>24134.723394281114</c:v>
                </c:pt>
                <c:pt idx="52">
                  <c:v>-99951.999509744695</c:v>
                </c:pt>
                <c:pt idx="53">
                  <c:v>22211.565001384588</c:v>
                </c:pt>
                <c:pt idx="54">
                  <c:v>31813.553961634985</c:v>
                </c:pt>
                <c:pt idx="55">
                  <c:v>-49662.841596194368</c:v>
                </c:pt>
                <c:pt idx="56">
                  <c:v>-10161.150369689916</c:v>
                </c:pt>
                <c:pt idx="57">
                  <c:v>-25124.737045928836</c:v>
                </c:pt>
                <c:pt idx="58">
                  <c:v>-51497.728718375205</c:v>
                </c:pt>
                <c:pt idx="59">
                  <c:v>-54496.372349109151</c:v>
                </c:pt>
                <c:pt idx="60">
                  <c:v>57951.797879582387</c:v>
                </c:pt>
                <c:pt idx="61">
                  <c:v>42882.596153215971</c:v>
                </c:pt>
                <c:pt idx="62">
                  <c:v>-11962.920377109898</c:v>
                </c:pt>
                <c:pt idx="63">
                  <c:v>41371.094150976976</c:v>
                </c:pt>
                <c:pt idx="64">
                  <c:v>-24625.628438642598</c:v>
                </c:pt>
                <c:pt idx="65">
                  <c:v>-22386.048004407203</c:v>
                </c:pt>
                <c:pt idx="66">
                  <c:v>-159545.34921086964</c:v>
                </c:pt>
                <c:pt idx="67">
                  <c:v>5163.1553148837993</c:v>
                </c:pt>
                <c:pt idx="68">
                  <c:v>81093.947258593515</c:v>
                </c:pt>
                <c:pt idx="69">
                  <c:v>-11348.700272688933</c:v>
                </c:pt>
                <c:pt idx="70">
                  <c:v>23900.138530391036</c:v>
                </c:pt>
                <c:pt idx="71">
                  <c:v>43893.202803671127</c:v>
                </c:pt>
                <c:pt idx="72">
                  <c:v>24286.882529946859</c:v>
                </c:pt>
                <c:pt idx="73">
                  <c:v>-56455.345427068882</c:v>
                </c:pt>
                <c:pt idx="74">
                  <c:v>92630.743504519342</c:v>
                </c:pt>
                <c:pt idx="75">
                  <c:v>-27963.210606254521</c:v>
                </c:pt>
                <c:pt idx="76">
                  <c:v>-10280.063729639282</c:v>
                </c:pt>
                <c:pt idx="77">
                  <c:v>42807.102380570839</c:v>
                </c:pt>
                <c:pt idx="78">
                  <c:v>51721.538853458012</c:v>
                </c:pt>
                <c:pt idx="79">
                  <c:v>-23075.104466554476</c:v>
                </c:pt>
                <c:pt idx="80">
                  <c:v>-39107.691414364264</c:v>
                </c:pt>
                <c:pt idx="81">
                  <c:v>33691.394678910729</c:v>
                </c:pt>
                <c:pt idx="82">
                  <c:v>64637.530529205338</c:v>
                </c:pt>
                <c:pt idx="83">
                  <c:v>368.90728751698043</c:v>
                </c:pt>
                <c:pt idx="84">
                  <c:v>-1410.3824697458185</c:v>
                </c:pt>
                <c:pt idx="85">
                  <c:v>-36538.832739606267</c:v>
                </c:pt>
                <c:pt idx="86">
                  <c:v>-15777.861594122718</c:v>
                </c:pt>
                <c:pt idx="87">
                  <c:v>-16435.163458375144</c:v>
                </c:pt>
                <c:pt idx="88">
                  <c:v>21755.457781846984</c:v>
                </c:pt>
                <c:pt idx="89">
                  <c:v>-145887.49825806229</c:v>
                </c:pt>
                <c:pt idx="90">
                  <c:v>2237.4343256924767</c:v>
                </c:pt>
                <c:pt idx="91">
                  <c:v>14437.798364212271</c:v>
                </c:pt>
                <c:pt idx="92">
                  <c:v>-9434.9598424386932</c:v>
                </c:pt>
                <c:pt idx="93">
                  <c:v>50092.299131099135</c:v>
                </c:pt>
                <c:pt idx="94">
                  <c:v>56673.539790682495</c:v>
                </c:pt>
                <c:pt idx="95">
                  <c:v>-17922.169680106104</c:v>
                </c:pt>
                <c:pt idx="96">
                  <c:v>-22456.368847186794</c:v>
                </c:pt>
                <c:pt idx="97">
                  <c:v>60317.828572276398</c:v>
                </c:pt>
                <c:pt idx="98">
                  <c:v>-22505.275326767354</c:v>
                </c:pt>
                <c:pt idx="99">
                  <c:v>7881.3132524674293</c:v>
                </c:pt>
                <c:pt idx="100">
                  <c:v>41162.478323775344</c:v>
                </c:pt>
                <c:pt idx="101">
                  <c:v>-44286.779506593593</c:v>
                </c:pt>
                <c:pt idx="102">
                  <c:v>27523.796681808657</c:v>
                </c:pt>
                <c:pt idx="103">
                  <c:v>84798.177160112187</c:v>
                </c:pt>
                <c:pt idx="104">
                  <c:v>38910.187828109134</c:v>
                </c:pt>
                <c:pt idx="105">
                  <c:v>-3073.8266053253319</c:v>
                </c:pt>
                <c:pt idx="106">
                  <c:v>76768.141347562429</c:v>
                </c:pt>
                <c:pt idx="107">
                  <c:v>-1939.1162745676702</c:v>
                </c:pt>
                <c:pt idx="108">
                  <c:v>36794.303905852372</c:v>
                </c:pt>
                <c:pt idx="109">
                  <c:v>16947.442180440761</c:v>
                </c:pt>
                <c:pt idx="110">
                  <c:v>-23166.90868565999</c:v>
                </c:pt>
                <c:pt idx="111">
                  <c:v>112722.72216396674</c:v>
                </c:pt>
                <c:pt idx="112">
                  <c:v>38935.058477346203</c:v>
                </c:pt>
                <c:pt idx="113">
                  <c:v>33051.941057308461</c:v>
                </c:pt>
                <c:pt idx="114">
                  <c:v>-50182.487019258668</c:v>
                </c:pt>
                <c:pt idx="115">
                  <c:v>-41075.971891315421</c:v>
                </c:pt>
                <c:pt idx="116">
                  <c:v>47.99631519196555</c:v>
                </c:pt>
                <c:pt idx="117">
                  <c:v>87296.097406457993</c:v>
                </c:pt>
                <c:pt idx="118">
                  <c:v>-71310.480207910878</c:v>
                </c:pt>
                <c:pt idx="119">
                  <c:v>-4975.8186270925216</c:v>
                </c:pt>
                <c:pt idx="120">
                  <c:v>-53482.204880068835</c:v>
                </c:pt>
                <c:pt idx="121">
                  <c:v>36026.783350614714</c:v>
                </c:pt>
                <c:pt idx="122">
                  <c:v>-32454.983670084155</c:v>
                </c:pt>
                <c:pt idx="123">
                  <c:v>-64254.582701205742</c:v>
                </c:pt>
                <c:pt idx="124">
                  <c:v>76285.972583058174</c:v>
                </c:pt>
                <c:pt idx="125">
                  <c:v>-21552.785960535868</c:v>
                </c:pt>
                <c:pt idx="126">
                  <c:v>39927.543372862041</c:v>
                </c:pt>
                <c:pt idx="127">
                  <c:v>-20106.380810166826</c:v>
                </c:pt>
                <c:pt idx="128">
                  <c:v>21931.25204198854</c:v>
                </c:pt>
                <c:pt idx="129">
                  <c:v>2609.2773674819618</c:v>
                </c:pt>
                <c:pt idx="130">
                  <c:v>-67035.235336851794</c:v>
                </c:pt>
                <c:pt idx="131">
                  <c:v>-17167.500484380987</c:v>
                </c:pt>
                <c:pt idx="132">
                  <c:v>-54908.016204070649</c:v>
                </c:pt>
                <c:pt idx="133">
                  <c:v>-49454.116014564352</c:v>
                </c:pt>
                <c:pt idx="134">
                  <c:v>-9712.9947791201994</c:v>
                </c:pt>
                <c:pt idx="135">
                  <c:v>-20223.005314715789</c:v>
                </c:pt>
                <c:pt idx="136">
                  <c:v>-74463.764339236193</c:v>
                </c:pt>
                <c:pt idx="137">
                  <c:v>36369.103639803943</c:v>
                </c:pt>
                <c:pt idx="138">
                  <c:v>75120.106078310753</c:v>
                </c:pt>
                <c:pt idx="139">
                  <c:v>28361.153977255453</c:v>
                </c:pt>
                <c:pt idx="140">
                  <c:v>37765.580174423987</c:v>
                </c:pt>
                <c:pt idx="141">
                  <c:v>7894.2769953686511</c:v>
                </c:pt>
                <c:pt idx="142">
                  <c:v>37405.885216745897</c:v>
                </c:pt>
                <c:pt idx="143">
                  <c:v>14670.848274462973</c:v>
                </c:pt>
                <c:pt idx="144">
                  <c:v>-16303.097614999395</c:v>
                </c:pt>
                <c:pt idx="145">
                  <c:v>-13593.497124249232</c:v>
                </c:pt>
                <c:pt idx="146">
                  <c:v>16090.198541079648</c:v>
                </c:pt>
                <c:pt idx="147">
                  <c:v>18741.353853696026</c:v>
                </c:pt>
                <c:pt idx="148">
                  <c:v>-40890.951395024313</c:v>
                </c:pt>
                <c:pt idx="149">
                  <c:v>-10616.831130983424</c:v>
                </c:pt>
                <c:pt idx="150">
                  <c:v>22760.745666746167</c:v>
                </c:pt>
                <c:pt idx="151">
                  <c:v>10980.534825027222</c:v>
                </c:pt>
                <c:pt idx="152">
                  <c:v>-15683.210184405791</c:v>
                </c:pt>
                <c:pt idx="153">
                  <c:v>13372.198344959761</c:v>
                </c:pt>
                <c:pt idx="154">
                  <c:v>-39937.166258573881</c:v>
                </c:pt>
                <c:pt idx="155">
                  <c:v>-384.22638123715296</c:v>
                </c:pt>
                <c:pt idx="156">
                  <c:v>-14150.102509110584</c:v>
                </c:pt>
                <c:pt idx="157">
                  <c:v>-27767.950229475158</c:v>
                </c:pt>
                <c:pt idx="158">
                  <c:v>70278.728552476503</c:v>
                </c:pt>
                <c:pt idx="159">
                  <c:v>60131.600393095636</c:v>
                </c:pt>
                <c:pt idx="160">
                  <c:v>-56426.036263536895</c:v>
                </c:pt>
                <c:pt idx="161">
                  <c:v>66877.512257629074</c:v>
                </c:pt>
                <c:pt idx="162">
                  <c:v>-17834.972843340947</c:v>
                </c:pt>
                <c:pt idx="163">
                  <c:v>-17561.167302464019</c:v>
                </c:pt>
                <c:pt idx="164">
                  <c:v>36728.768946809345</c:v>
                </c:pt>
                <c:pt idx="165">
                  <c:v>-30203.475982093718</c:v>
                </c:pt>
                <c:pt idx="166">
                  <c:v>-13448.978296396905</c:v>
                </c:pt>
                <c:pt idx="167">
                  <c:v>2525.6097810168285</c:v>
                </c:pt>
                <c:pt idx="168">
                  <c:v>-25288.935720009264</c:v>
                </c:pt>
                <c:pt idx="169">
                  <c:v>-69310.68791639444</c:v>
                </c:pt>
                <c:pt idx="170">
                  <c:v>40682.273673473625</c:v>
                </c:pt>
                <c:pt idx="171">
                  <c:v>922.53467411349993</c:v>
                </c:pt>
                <c:pt idx="172">
                  <c:v>33681.170755378553</c:v>
                </c:pt>
                <c:pt idx="173">
                  <c:v>-7783.8649610700086</c:v>
                </c:pt>
                <c:pt idx="174">
                  <c:v>-2795.2352716417518</c:v>
                </c:pt>
                <c:pt idx="175">
                  <c:v>8059.6060102516785</c:v>
                </c:pt>
                <c:pt idx="176">
                  <c:v>-1982.4565074355341</c:v>
                </c:pt>
                <c:pt idx="177">
                  <c:v>49632.523313343991</c:v>
                </c:pt>
                <c:pt idx="178">
                  <c:v>7826.9726684617344</c:v>
                </c:pt>
                <c:pt idx="179">
                  <c:v>34001.563883399358</c:v>
                </c:pt>
                <c:pt idx="180">
                  <c:v>4350.1648900639266</c:v>
                </c:pt>
                <c:pt idx="181">
                  <c:v>11308.628579103388</c:v>
                </c:pt>
                <c:pt idx="182">
                  <c:v>6598.4472384188557</c:v>
                </c:pt>
                <c:pt idx="183">
                  <c:v>7271.4418750627665</c:v>
                </c:pt>
                <c:pt idx="184">
                  <c:v>-23486.627724211779</c:v>
                </c:pt>
                <c:pt idx="185">
                  <c:v>17683.092780012754</c:v>
                </c:pt>
                <c:pt idx="186">
                  <c:v>59791.609200068284</c:v>
                </c:pt>
                <c:pt idx="187">
                  <c:v>3507.09281033359</c:v>
                </c:pt>
                <c:pt idx="188">
                  <c:v>37546.818455140456</c:v>
                </c:pt>
                <c:pt idx="189">
                  <c:v>14156.74429058691</c:v>
                </c:pt>
                <c:pt idx="190">
                  <c:v>-5521.701050160802</c:v>
                </c:pt>
                <c:pt idx="191">
                  <c:v>-48068.02695834206</c:v>
                </c:pt>
                <c:pt idx="192">
                  <c:v>-32846.168742094422</c:v>
                </c:pt>
                <c:pt idx="193">
                  <c:v>4933.7345669901697</c:v>
                </c:pt>
                <c:pt idx="194">
                  <c:v>8145.1424212144921</c:v>
                </c:pt>
                <c:pt idx="195">
                  <c:v>-74482.389024564705</c:v>
                </c:pt>
                <c:pt idx="196">
                  <c:v>58391.862800903735</c:v>
                </c:pt>
                <c:pt idx="197">
                  <c:v>-28701.85991488467</c:v>
                </c:pt>
                <c:pt idx="198">
                  <c:v>-16726.406184256542</c:v>
                </c:pt>
                <c:pt idx="199">
                  <c:v>89536.056512310286</c:v>
                </c:pt>
                <c:pt idx="200">
                  <c:v>-31949.59957091033</c:v>
                </c:pt>
                <c:pt idx="201">
                  <c:v>74552.097428550711</c:v>
                </c:pt>
                <c:pt idx="202">
                  <c:v>-70619.376423915499</c:v>
                </c:pt>
                <c:pt idx="203">
                  <c:v>-37447.365648613311</c:v>
                </c:pt>
                <c:pt idx="204">
                  <c:v>-17020.691374868155</c:v>
                </c:pt>
                <c:pt idx="205">
                  <c:v>55472.542886759504</c:v>
                </c:pt>
                <c:pt idx="206">
                  <c:v>-61774.016211703769</c:v>
                </c:pt>
                <c:pt idx="207">
                  <c:v>-79251.394279664033</c:v>
                </c:pt>
                <c:pt idx="208">
                  <c:v>14814.93295536947</c:v>
                </c:pt>
                <c:pt idx="209">
                  <c:v>-65940.620952712488</c:v>
                </c:pt>
                <c:pt idx="210">
                  <c:v>-12783.478901439114</c:v>
                </c:pt>
                <c:pt idx="211">
                  <c:v>-9727.8997977415565</c:v>
                </c:pt>
                <c:pt idx="212">
                  <c:v>36152.103286266443</c:v>
                </c:pt>
                <c:pt idx="213">
                  <c:v>43173.495662944741</c:v>
                </c:pt>
                <c:pt idx="214">
                  <c:v>-14175.746289450326</c:v>
                </c:pt>
                <c:pt idx="215">
                  <c:v>4977.6160121682333</c:v>
                </c:pt>
                <c:pt idx="216">
                  <c:v>21744.13579642179</c:v>
                </c:pt>
                <c:pt idx="217">
                  <c:v>-11361.176274736063</c:v>
                </c:pt>
                <c:pt idx="218">
                  <c:v>40672.399245483102</c:v>
                </c:pt>
                <c:pt idx="219">
                  <c:v>-5473.3414625355508</c:v>
                </c:pt>
                <c:pt idx="220">
                  <c:v>15141.876196693745</c:v>
                </c:pt>
                <c:pt idx="221">
                  <c:v>7138.8004373770673</c:v>
                </c:pt>
                <c:pt idx="222">
                  <c:v>5254.4900530084269</c:v>
                </c:pt>
                <c:pt idx="223">
                  <c:v>-31905.052277921932</c:v>
                </c:pt>
                <c:pt idx="224">
                  <c:v>40571.147932858439</c:v>
                </c:pt>
                <c:pt idx="225">
                  <c:v>12306.40021869872</c:v>
                </c:pt>
                <c:pt idx="226">
                  <c:v>-21476.731081700651</c:v>
                </c:pt>
                <c:pt idx="227">
                  <c:v>22258.791594973474</c:v>
                </c:pt>
                <c:pt idx="228">
                  <c:v>-50818.69585107686</c:v>
                </c:pt>
                <c:pt idx="229">
                  <c:v>57671.717775837751</c:v>
                </c:pt>
                <c:pt idx="230">
                  <c:v>-32197.260877824156</c:v>
                </c:pt>
                <c:pt idx="231">
                  <c:v>26135.095451347879</c:v>
                </c:pt>
                <c:pt idx="232">
                  <c:v>46842.895974721643</c:v>
                </c:pt>
                <c:pt idx="233">
                  <c:v>83826.613294604351</c:v>
                </c:pt>
                <c:pt idx="234">
                  <c:v>8362.8059956963407</c:v>
                </c:pt>
                <c:pt idx="235">
                  <c:v>8085.7998448831495</c:v>
                </c:pt>
                <c:pt idx="236">
                  <c:v>-82033.971156941261</c:v>
                </c:pt>
                <c:pt idx="237">
                  <c:v>-23233.9893119185</c:v>
                </c:pt>
                <c:pt idx="238">
                  <c:v>-13314.499488121481</c:v>
                </c:pt>
                <c:pt idx="239">
                  <c:v>3965.5503800655715</c:v>
                </c:pt>
                <c:pt idx="240">
                  <c:v>25016.265670952736</c:v>
                </c:pt>
                <c:pt idx="241">
                  <c:v>7251.1897042765049</c:v>
                </c:pt>
                <c:pt idx="242">
                  <c:v>-5193.563538994058</c:v>
                </c:pt>
                <c:pt idx="243">
                  <c:v>-10477.961042018491</c:v>
                </c:pt>
                <c:pt idx="244">
                  <c:v>24862.441537567298</c:v>
                </c:pt>
                <c:pt idx="245">
                  <c:v>11580.237017213833</c:v>
                </c:pt>
                <c:pt idx="246">
                  <c:v>-16678.138792572776</c:v>
                </c:pt>
                <c:pt idx="247">
                  <c:v>3948.8317629219964</c:v>
                </c:pt>
                <c:pt idx="248">
                  <c:v>18285.774543538806</c:v>
                </c:pt>
                <c:pt idx="249">
                  <c:v>-8463.9945273931371</c:v>
                </c:pt>
                <c:pt idx="250">
                  <c:v>5350.5959814187372</c:v>
                </c:pt>
                <c:pt idx="251">
                  <c:v>17375.545140076312</c:v>
                </c:pt>
                <c:pt idx="252">
                  <c:v>-19665.83956971881</c:v>
                </c:pt>
                <c:pt idx="253">
                  <c:v>70181.177805456799</c:v>
                </c:pt>
                <c:pt idx="254">
                  <c:v>17019.515658253804</c:v>
                </c:pt>
                <c:pt idx="255">
                  <c:v>-59357.220397502067</c:v>
                </c:pt>
                <c:pt idx="256">
                  <c:v>66620.223475624691</c:v>
                </c:pt>
                <c:pt idx="257">
                  <c:v>2550.0690936011961</c:v>
                </c:pt>
                <c:pt idx="258">
                  <c:v>-14262.861586658517</c:v>
                </c:pt>
                <c:pt idx="259">
                  <c:v>40340.829162560403</c:v>
                </c:pt>
                <c:pt idx="260">
                  <c:v>-424.0676527878968</c:v>
                </c:pt>
                <c:pt idx="261">
                  <c:v>-6525.3598302601604</c:v>
                </c:pt>
                <c:pt idx="262">
                  <c:v>58531.449893885525</c:v>
                </c:pt>
                <c:pt idx="263">
                  <c:v>21193.847606689786</c:v>
                </c:pt>
                <c:pt idx="264">
                  <c:v>-9871.8726875142893</c:v>
                </c:pt>
                <c:pt idx="265">
                  <c:v>38649.283422643784</c:v>
                </c:pt>
                <c:pt idx="266">
                  <c:v>30923.901169023244</c:v>
                </c:pt>
                <c:pt idx="267">
                  <c:v>41432.320506498683</c:v>
                </c:pt>
                <c:pt idx="268">
                  <c:v>-79808.338610787992</c:v>
                </c:pt>
                <c:pt idx="269">
                  <c:v>50476.932587645366</c:v>
                </c:pt>
                <c:pt idx="270">
                  <c:v>-5939.7326649073511</c:v>
                </c:pt>
                <c:pt idx="271">
                  <c:v>-71428.350634973031</c:v>
                </c:pt>
                <c:pt idx="272">
                  <c:v>5221.2574555516476</c:v>
                </c:pt>
                <c:pt idx="273">
                  <c:v>41528.14588468289</c:v>
                </c:pt>
                <c:pt idx="274">
                  <c:v>-8997.2383942551678</c:v>
                </c:pt>
                <c:pt idx="275">
                  <c:v>91668.572257052874</c:v>
                </c:pt>
                <c:pt idx="276">
                  <c:v>-63679.38358230528</c:v>
                </c:pt>
                <c:pt idx="277">
                  <c:v>32899.981247370946</c:v>
                </c:pt>
                <c:pt idx="278">
                  <c:v>9550.190275053028</c:v>
                </c:pt>
                <c:pt idx="279">
                  <c:v>-12997.859893459245</c:v>
                </c:pt>
                <c:pt idx="280">
                  <c:v>-51492.096723981551</c:v>
                </c:pt>
                <c:pt idx="281">
                  <c:v>-36995.910762457526</c:v>
                </c:pt>
                <c:pt idx="282">
                  <c:v>13811.608922852087</c:v>
                </c:pt>
                <c:pt idx="283">
                  <c:v>-8999.4342753458186</c:v>
                </c:pt>
                <c:pt idx="284">
                  <c:v>-12562.979553747107</c:v>
                </c:pt>
                <c:pt idx="285">
                  <c:v>-3323.3819294533459</c:v>
                </c:pt>
                <c:pt idx="286">
                  <c:v>8905.5790149988607</c:v>
                </c:pt>
                <c:pt idx="287">
                  <c:v>-13023.745759743499</c:v>
                </c:pt>
                <c:pt idx="288">
                  <c:v>50188.250314401579</c:v>
                </c:pt>
                <c:pt idx="289">
                  <c:v>-10083.798959154403</c:v>
                </c:pt>
                <c:pt idx="290">
                  <c:v>106192.70634373149</c:v>
                </c:pt>
                <c:pt idx="291">
                  <c:v>-660.51106072228868</c:v>
                </c:pt>
                <c:pt idx="292">
                  <c:v>-49842.176765253185</c:v>
                </c:pt>
                <c:pt idx="293">
                  <c:v>637.0166488212999</c:v>
                </c:pt>
                <c:pt idx="294">
                  <c:v>-9594.7625466982718</c:v>
                </c:pt>
                <c:pt idx="295">
                  <c:v>12161.866473145375</c:v>
                </c:pt>
                <c:pt idx="296">
                  <c:v>-7725.7485264360439</c:v>
                </c:pt>
                <c:pt idx="297">
                  <c:v>80598.237773938221</c:v>
                </c:pt>
                <c:pt idx="298">
                  <c:v>-21437.678101157304</c:v>
                </c:pt>
                <c:pt idx="299">
                  <c:v>-69871.425121836306</c:v>
                </c:pt>
                <c:pt idx="300">
                  <c:v>-24955.196922614006</c:v>
                </c:pt>
                <c:pt idx="301">
                  <c:v>-6421.6194239672041</c:v>
                </c:pt>
                <c:pt idx="302">
                  <c:v>-18634.526272425195</c:v>
                </c:pt>
                <c:pt idx="303">
                  <c:v>51383.354671249981</c:v>
                </c:pt>
                <c:pt idx="304">
                  <c:v>41406.451890726923</c:v>
                </c:pt>
                <c:pt idx="305">
                  <c:v>-93480.754941086867</c:v>
                </c:pt>
                <c:pt idx="306">
                  <c:v>53988.814320102101</c:v>
                </c:pt>
                <c:pt idx="307">
                  <c:v>-49346.588811333291</c:v>
                </c:pt>
                <c:pt idx="308">
                  <c:v>-22282.097101375228</c:v>
                </c:pt>
                <c:pt idx="309">
                  <c:v>-48515.608121502097</c:v>
                </c:pt>
                <c:pt idx="310">
                  <c:v>-20328.170178774977</c:v>
                </c:pt>
                <c:pt idx="311">
                  <c:v>12772.966173886089</c:v>
                </c:pt>
                <c:pt idx="312">
                  <c:v>39492.690647941316</c:v>
                </c:pt>
                <c:pt idx="313">
                  <c:v>-24617.046396170976</c:v>
                </c:pt>
                <c:pt idx="314">
                  <c:v>33445.537383546471</c:v>
                </c:pt>
                <c:pt idx="315">
                  <c:v>33363.594467651565</c:v>
                </c:pt>
                <c:pt idx="316">
                  <c:v>-38789.424119110336</c:v>
                </c:pt>
                <c:pt idx="317">
                  <c:v>24191.533265398582</c:v>
                </c:pt>
                <c:pt idx="318">
                  <c:v>11020.303544730181</c:v>
                </c:pt>
                <c:pt idx="319">
                  <c:v>-21112.599669000367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A2-4640-BD95-564CF04B2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3423"/>
        <c:axId val="20785215"/>
      </c:scatterChart>
      <c:valAx>
        <c:axId val="20783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type_Residential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785215"/>
        <c:crosses val="autoZero"/>
        <c:crossBetween val="midCat"/>
      </c:valAx>
      <c:valAx>
        <c:axId val="207852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7834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type_Airport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'MR Output'!$N$2:$N$321</c:f>
              <c:numCache>
                <c:formatCode>General</c:formatCode>
                <c:ptCount val="320"/>
              </c:numCache>
            </c:numRef>
          </c:xVal>
          <c:yVal>
            <c:numRef>
              <c:f>'MR Output'!$C$35:$C$354</c:f>
              <c:numCache>
                <c:formatCode>General</c:formatCode>
                <c:ptCount val="320"/>
                <c:pt idx="0">
                  <c:v>-23396.626781843137</c:v>
                </c:pt>
                <c:pt idx="1">
                  <c:v>-40589.274646520149</c:v>
                </c:pt>
                <c:pt idx="2">
                  <c:v>-54738.979435316287</c:v>
                </c:pt>
                <c:pt idx="3">
                  <c:v>-80673.972340586013</c:v>
                </c:pt>
                <c:pt idx="4">
                  <c:v>-48983.906844820362</c:v>
                </c:pt>
                <c:pt idx="5">
                  <c:v>-21788.994438463938</c:v>
                </c:pt>
                <c:pt idx="6">
                  <c:v>16106.574343493208</c:v>
                </c:pt>
                <c:pt idx="7">
                  <c:v>74722.573556983261</c:v>
                </c:pt>
                <c:pt idx="8">
                  <c:v>65114.694738529157</c:v>
                </c:pt>
                <c:pt idx="9">
                  <c:v>-24713.516222127946</c:v>
                </c:pt>
                <c:pt idx="10">
                  <c:v>-35078.386815394508</c:v>
                </c:pt>
                <c:pt idx="11">
                  <c:v>41587.256043890025</c:v>
                </c:pt>
                <c:pt idx="12">
                  <c:v>54466.515269455151</c:v>
                </c:pt>
                <c:pt idx="13">
                  <c:v>-38824.672632375965</c:v>
                </c:pt>
                <c:pt idx="14">
                  <c:v>7490.529813800822</c:v>
                </c:pt>
                <c:pt idx="15">
                  <c:v>31047.402063647634</c:v>
                </c:pt>
                <c:pt idx="16">
                  <c:v>-14466.638574450044</c:v>
                </c:pt>
                <c:pt idx="17">
                  <c:v>-17967.734839509358</c:v>
                </c:pt>
                <c:pt idx="18">
                  <c:v>-20588.291941397823</c:v>
                </c:pt>
                <c:pt idx="19">
                  <c:v>-4500.2829324092017</c:v>
                </c:pt>
                <c:pt idx="20">
                  <c:v>-84848.752077705634</c:v>
                </c:pt>
                <c:pt idx="21">
                  <c:v>-2247.007168705517</c:v>
                </c:pt>
                <c:pt idx="22">
                  <c:v>33216.096190231852</c:v>
                </c:pt>
                <c:pt idx="23">
                  <c:v>15763.265457478585</c:v>
                </c:pt>
                <c:pt idx="24">
                  <c:v>-28825.022886868916</c:v>
                </c:pt>
                <c:pt idx="25">
                  <c:v>-112680.30349482025</c:v>
                </c:pt>
                <c:pt idx="26">
                  <c:v>-19187.56667163712</c:v>
                </c:pt>
                <c:pt idx="27">
                  <c:v>-1982.2051082962425</c:v>
                </c:pt>
                <c:pt idx="28">
                  <c:v>-54597.565121964726</c:v>
                </c:pt>
                <c:pt idx="29">
                  <c:v>35273.884643438621</c:v>
                </c:pt>
                <c:pt idx="30">
                  <c:v>5064.9537055502879</c:v>
                </c:pt>
                <c:pt idx="31">
                  <c:v>-50092.283397609252</c:v>
                </c:pt>
                <c:pt idx="32">
                  <c:v>-99075.453786892351</c:v>
                </c:pt>
                <c:pt idx="33">
                  <c:v>-47329.614193545538</c:v>
                </c:pt>
                <c:pt idx="34">
                  <c:v>9811.4259448212106</c:v>
                </c:pt>
                <c:pt idx="35">
                  <c:v>-8535.2947134464048</c:v>
                </c:pt>
                <c:pt idx="36">
                  <c:v>42055.875067052781</c:v>
                </c:pt>
                <c:pt idx="37">
                  <c:v>-41249.791617452633</c:v>
                </c:pt>
                <c:pt idx="38">
                  <c:v>-12094.301091901609</c:v>
                </c:pt>
                <c:pt idx="39">
                  <c:v>-3967.3774898507399</c:v>
                </c:pt>
                <c:pt idx="40">
                  <c:v>4417.2622600748437</c:v>
                </c:pt>
                <c:pt idx="41">
                  <c:v>8801.1888409905368</c:v>
                </c:pt>
                <c:pt idx="42">
                  <c:v>69029.08785512601</c:v>
                </c:pt>
                <c:pt idx="43">
                  <c:v>4527.6321805616608</c:v>
                </c:pt>
                <c:pt idx="44">
                  <c:v>-119858.46516582719</c:v>
                </c:pt>
                <c:pt idx="45">
                  <c:v>-29424.765788684483</c:v>
                </c:pt>
                <c:pt idx="46">
                  <c:v>45989.753125274903</c:v>
                </c:pt>
                <c:pt idx="47">
                  <c:v>26186.059941890649</c:v>
                </c:pt>
                <c:pt idx="48">
                  <c:v>-43005.161184015567</c:v>
                </c:pt>
                <c:pt idx="49">
                  <c:v>3594.0575298904441</c:v>
                </c:pt>
                <c:pt idx="50">
                  <c:v>5119.67701850296</c:v>
                </c:pt>
                <c:pt idx="51">
                  <c:v>24134.723394281114</c:v>
                </c:pt>
                <c:pt idx="52">
                  <c:v>-99951.999509744695</c:v>
                </c:pt>
                <c:pt idx="53">
                  <c:v>22211.565001384588</c:v>
                </c:pt>
                <c:pt idx="54">
                  <c:v>31813.553961634985</c:v>
                </c:pt>
                <c:pt idx="55">
                  <c:v>-49662.841596194368</c:v>
                </c:pt>
                <c:pt idx="56">
                  <c:v>-10161.150369689916</c:v>
                </c:pt>
                <c:pt idx="57">
                  <c:v>-25124.737045928836</c:v>
                </c:pt>
                <c:pt idx="58">
                  <c:v>-51497.728718375205</c:v>
                </c:pt>
                <c:pt idx="59">
                  <c:v>-54496.372349109151</c:v>
                </c:pt>
                <c:pt idx="60">
                  <c:v>57951.797879582387</c:v>
                </c:pt>
                <c:pt idx="61">
                  <c:v>42882.596153215971</c:v>
                </c:pt>
                <c:pt idx="62">
                  <c:v>-11962.920377109898</c:v>
                </c:pt>
                <c:pt idx="63">
                  <c:v>41371.094150976976</c:v>
                </c:pt>
                <c:pt idx="64">
                  <c:v>-24625.628438642598</c:v>
                </c:pt>
                <c:pt idx="65">
                  <c:v>-22386.048004407203</c:v>
                </c:pt>
                <c:pt idx="66">
                  <c:v>-159545.34921086964</c:v>
                </c:pt>
                <c:pt idx="67">
                  <c:v>5163.1553148837993</c:v>
                </c:pt>
                <c:pt idx="68">
                  <c:v>81093.947258593515</c:v>
                </c:pt>
                <c:pt idx="69">
                  <c:v>-11348.700272688933</c:v>
                </c:pt>
                <c:pt idx="70">
                  <c:v>23900.138530391036</c:v>
                </c:pt>
                <c:pt idx="71">
                  <c:v>43893.202803671127</c:v>
                </c:pt>
                <c:pt idx="72">
                  <c:v>24286.882529946859</c:v>
                </c:pt>
                <c:pt idx="73">
                  <c:v>-56455.345427068882</c:v>
                </c:pt>
                <c:pt idx="74">
                  <c:v>92630.743504519342</c:v>
                </c:pt>
                <c:pt idx="75">
                  <c:v>-27963.210606254521</c:v>
                </c:pt>
                <c:pt idx="76">
                  <c:v>-10280.063729639282</c:v>
                </c:pt>
                <c:pt idx="77">
                  <c:v>42807.102380570839</c:v>
                </c:pt>
                <c:pt idx="78">
                  <c:v>51721.538853458012</c:v>
                </c:pt>
                <c:pt idx="79">
                  <c:v>-23075.104466554476</c:v>
                </c:pt>
                <c:pt idx="80">
                  <c:v>-39107.691414364264</c:v>
                </c:pt>
                <c:pt idx="81">
                  <c:v>33691.394678910729</c:v>
                </c:pt>
                <c:pt idx="82">
                  <c:v>64637.530529205338</c:v>
                </c:pt>
                <c:pt idx="83">
                  <c:v>368.90728751698043</c:v>
                </c:pt>
                <c:pt idx="84">
                  <c:v>-1410.3824697458185</c:v>
                </c:pt>
                <c:pt idx="85">
                  <c:v>-36538.832739606267</c:v>
                </c:pt>
                <c:pt idx="86">
                  <c:v>-15777.861594122718</c:v>
                </c:pt>
                <c:pt idx="87">
                  <c:v>-16435.163458375144</c:v>
                </c:pt>
                <c:pt idx="88">
                  <c:v>21755.457781846984</c:v>
                </c:pt>
                <c:pt idx="89">
                  <c:v>-145887.49825806229</c:v>
                </c:pt>
                <c:pt idx="90">
                  <c:v>2237.4343256924767</c:v>
                </c:pt>
                <c:pt idx="91">
                  <c:v>14437.798364212271</c:v>
                </c:pt>
                <c:pt idx="92">
                  <c:v>-9434.9598424386932</c:v>
                </c:pt>
                <c:pt idx="93">
                  <c:v>50092.299131099135</c:v>
                </c:pt>
                <c:pt idx="94">
                  <c:v>56673.539790682495</c:v>
                </c:pt>
                <c:pt idx="95">
                  <c:v>-17922.169680106104</c:v>
                </c:pt>
                <c:pt idx="96">
                  <c:v>-22456.368847186794</c:v>
                </c:pt>
                <c:pt idx="97">
                  <c:v>60317.828572276398</c:v>
                </c:pt>
                <c:pt idx="98">
                  <c:v>-22505.275326767354</c:v>
                </c:pt>
                <c:pt idx="99">
                  <c:v>7881.3132524674293</c:v>
                </c:pt>
                <c:pt idx="100">
                  <c:v>41162.478323775344</c:v>
                </c:pt>
                <c:pt idx="101">
                  <c:v>-44286.779506593593</c:v>
                </c:pt>
                <c:pt idx="102">
                  <c:v>27523.796681808657</c:v>
                </c:pt>
                <c:pt idx="103">
                  <c:v>84798.177160112187</c:v>
                </c:pt>
                <c:pt idx="104">
                  <c:v>38910.187828109134</c:v>
                </c:pt>
                <c:pt idx="105">
                  <c:v>-3073.8266053253319</c:v>
                </c:pt>
                <c:pt idx="106">
                  <c:v>76768.141347562429</c:v>
                </c:pt>
                <c:pt idx="107">
                  <c:v>-1939.1162745676702</c:v>
                </c:pt>
                <c:pt idx="108">
                  <c:v>36794.303905852372</c:v>
                </c:pt>
                <c:pt idx="109">
                  <c:v>16947.442180440761</c:v>
                </c:pt>
                <c:pt idx="110">
                  <c:v>-23166.90868565999</c:v>
                </c:pt>
                <c:pt idx="111">
                  <c:v>112722.72216396674</c:v>
                </c:pt>
                <c:pt idx="112">
                  <c:v>38935.058477346203</c:v>
                </c:pt>
                <c:pt idx="113">
                  <c:v>33051.941057308461</c:v>
                </c:pt>
                <c:pt idx="114">
                  <c:v>-50182.487019258668</c:v>
                </c:pt>
                <c:pt idx="115">
                  <c:v>-41075.971891315421</c:v>
                </c:pt>
                <c:pt idx="116">
                  <c:v>47.99631519196555</c:v>
                </c:pt>
                <c:pt idx="117">
                  <c:v>87296.097406457993</c:v>
                </c:pt>
                <c:pt idx="118">
                  <c:v>-71310.480207910878</c:v>
                </c:pt>
                <c:pt idx="119">
                  <c:v>-4975.8186270925216</c:v>
                </c:pt>
                <c:pt idx="120">
                  <c:v>-53482.204880068835</c:v>
                </c:pt>
                <c:pt idx="121">
                  <c:v>36026.783350614714</c:v>
                </c:pt>
                <c:pt idx="122">
                  <c:v>-32454.983670084155</c:v>
                </c:pt>
                <c:pt idx="123">
                  <c:v>-64254.582701205742</c:v>
                </c:pt>
                <c:pt idx="124">
                  <c:v>76285.972583058174</c:v>
                </c:pt>
                <c:pt idx="125">
                  <c:v>-21552.785960535868</c:v>
                </c:pt>
                <c:pt idx="126">
                  <c:v>39927.543372862041</c:v>
                </c:pt>
                <c:pt idx="127">
                  <c:v>-20106.380810166826</c:v>
                </c:pt>
                <c:pt idx="128">
                  <c:v>21931.25204198854</c:v>
                </c:pt>
                <c:pt idx="129">
                  <c:v>2609.2773674819618</c:v>
                </c:pt>
                <c:pt idx="130">
                  <c:v>-67035.235336851794</c:v>
                </c:pt>
                <c:pt idx="131">
                  <c:v>-17167.500484380987</c:v>
                </c:pt>
                <c:pt idx="132">
                  <c:v>-54908.016204070649</c:v>
                </c:pt>
                <c:pt idx="133">
                  <c:v>-49454.116014564352</c:v>
                </c:pt>
                <c:pt idx="134">
                  <c:v>-9712.9947791201994</c:v>
                </c:pt>
                <c:pt idx="135">
                  <c:v>-20223.005314715789</c:v>
                </c:pt>
                <c:pt idx="136">
                  <c:v>-74463.764339236193</c:v>
                </c:pt>
                <c:pt idx="137">
                  <c:v>36369.103639803943</c:v>
                </c:pt>
                <c:pt idx="138">
                  <c:v>75120.106078310753</c:v>
                </c:pt>
                <c:pt idx="139">
                  <c:v>28361.153977255453</c:v>
                </c:pt>
                <c:pt idx="140">
                  <c:v>37765.580174423987</c:v>
                </c:pt>
                <c:pt idx="141">
                  <c:v>7894.2769953686511</c:v>
                </c:pt>
                <c:pt idx="142">
                  <c:v>37405.885216745897</c:v>
                </c:pt>
                <c:pt idx="143">
                  <c:v>14670.848274462973</c:v>
                </c:pt>
                <c:pt idx="144">
                  <c:v>-16303.097614999395</c:v>
                </c:pt>
                <c:pt idx="145">
                  <c:v>-13593.497124249232</c:v>
                </c:pt>
                <c:pt idx="146">
                  <c:v>16090.198541079648</c:v>
                </c:pt>
                <c:pt idx="147">
                  <c:v>18741.353853696026</c:v>
                </c:pt>
                <c:pt idx="148">
                  <c:v>-40890.951395024313</c:v>
                </c:pt>
                <c:pt idx="149">
                  <c:v>-10616.831130983424</c:v>
                </c:pt>
                <c:pt idx="150">
                  <c:v>22760.745666746167</c:v>
                </c:pt>
                <c:pt idx="151">
                  <c:v>10980.534825027222</c:v>
                </c:pt>
                <c:pt idx="152">
                  <c:v>-15683.210184405791</c:v>
                </c:pt>
                <c:pt idx="153">
                  <c:v>13372.198344959761</c:v>
                </c:pt>
                <c:pt idx="154">
                  <c:v>-39937.166258573881</c:v>
                </c:pt>
                <c:pt idx="155">
                  <c:v>-384.22638123715296</c:v>
                </c:pt>
                <c:pt idx="156">
                  <c:v>-14150.102509110584</c:v>
                </c:pt>
                <c:pt idx="157">
                  <c:v>-27767.950229475158</c:v>
                </c:pt>
                <c:pt idx="158">
                  <c:v>70278.728552476503</c:v>
                </c:pt>
                <c:pt idx="159">
                  <c:v>60131.600393095636</c:v>
                </c:pt>
                <c:pt idx="160">
                  <c:v>-56426.036263536895</c:v>
                </c:pt>
                <c:pt idx="161">
                  <c:v>66877.512257629074</c:v>
                </c:pt>
                <c:pt idx="162">
                  <c:v>-17834.972843340947</c:v>
                </c:pt>
                <c:pt idx="163">
                  <c:v>-17561.167302464019</c:v>
                </c:pt>
                <c:pt idx="164">
                  <c:v>36728.768946809345</c:v>
                </c:pt>
                <c:pt idx="165">
                  <c:v>-30203.475982093718</c:v>
                </c:pt>
                <c:pt idx="166">
                  <c:v>-13448.978296396905</c:v>
                </c:pt>
                <c:pt idx="167">
                  <c:v>2525.6097810168285</c:v>
                </c:pt>
                <c:pt idx="168">
                  <c:v>-25288.935720009264</c:v>
                </c:pt>
                <c:pt idx="169">
                  <c:v>-69310.68791639444</c:v>
                </c:pt>
                <c:pt idx="170">
                  <c:v>40682.273673473625</c:v>
                </c:pt>
                <c:pt idx="171">
                  <c:v>922.53467411349993</c:v>
                </c:pt>
                <c:pt idx="172">
                  <c:v>33681.170755378553</c:v>
                </c:pt>
                <c:pt idx="173">
                  <c:v>-7783.8649610700086</c:v>
                </c:pt>
                <c:pt idx="174">
                  <c:v>-2795.2352716417518</c:v>
                </c:pt>
                <c:pt idx="175">
                  <c:v>8059.6060102516785</c:v>
                </c:pt>
                <c:pt idx="176">
                  <c:v>-1982.4565074355341</c:v>
                </c:pt>
                <c:pt idx="177">
                  <c:v>49632.523313343991</c:v>
                </c:pt>
                <c:pt idx="178">
                  <c:v>7826.9726684617344</c:v>
                </c:pt>
                <c:pt idx="179">
                  <c:v>34001.563883399358</c:v>
                </c:pt>
                <c:pt idx="180">
                  <c:v>4350.1648900639266</c:v>
                </c:pt>
                <c:pt idx="181">
                  <c:v>11308.628579103388</c:v>
                </c:pt>
                <c:pt idx="182">
                  <c:v>6598.4472384188557</c:v>
                </c:pt>
                <c:pt idx="183">
                  <c:v>7271.4418750627665</c:v>
                </c:pt>
                <c:pt idx="184">
                  <c:v>-23486.627724211779</c:v>
                </c:pt>
                <c:pt idx="185">
                  <c:v>17683.092780012754</c:v>
                </c:pt>
                <c:pt idx="186">
                  <c:v>59791.609200068284</c:v>
                </c:pt>
                <c:pt idx="187">
                  <c:v>3507.09281033359</c:v>
                </c:pt>
                <c:pt idx="188">
                  <c:v>37546.818455140456</c:v>
                </c:pt>
                <c:pt idx="189">
                  <c:v>14156.74429058691</c:v>
                </c:pt>
                <c:pt idx="190">
                  <c:v>-5521.701050160802</c:v>
                </c:pt>
                <c:pt idx="191">
                  <c:v>-48068.02695834206</c:v>
                </c:pt>
                <c:pt idx="192">
                  <c:v>-32846.168742094422</c:v>
                </c:pt>
                <c:pt idx="193">
                  <c:v>4933.7345669901697</c:v>
                </c:pt>
                <c:pt idx="194">
                  <c:v>8145.1424212144921</c:v>
                </c:pt>
                <c:pt idx="195">
                  <c:v>-74482.389024564705</c:v>
                </c:pt>
                <c:pt idx="196">
                  <c:v>58391.862800903735</c:v>
                </c:pt>
                <c:pt idx="197">
                  <c:v>-28701.85991488467</c:v>
                </c:pt>
                <c:pt idx="198">
                  <c:v>-16726.406184256542</c:v>
                </c:pt>
                <c:pt idx="199">
                  <c:v>89536.056512310286</c:v>
                </c:pt>
                <c:pt idx="200">
                  <c:v>-31949.59957091033</c:v>
                </c:pt>
                <c:pt idx="201">
                  <c:v>74552.097428550711</c:v>
                </c:pt>
                <c:pt idx="202">
                  <c:v>-70619.376423915499</c:v>
                </c:pt>
                <c:pt idx="203">
                  <c:v>-37447.365648613311</c:v>
                </c:pt>
                <c:pt idx="204">
                  <c:v>-17020.691374868155</c:v>
                </c:pt>
                <c:pt idx="205">
                  <c:v>55472.542886759504</c:v>
                </c:pt>
                <c:pt idx="206">
                  <c:v>-61774.016211703769</c:v>
                </c:pt>
                <c:pt idx="207">
                  <c:v>-79251.394279664033</c:v>
                </c:pt>
                <c:pt idx="208">
                  <c:v>14814.93295536947</c:v>
                </c:pt>
                <c:pt idx="209">
                  <c:v>-65940.620952712488</c:v>
                </c:pt>
                <c:pt idx="210">
                  <c:v>-12783.478901439114</c:v>
                </c:pt>
                <c:pt idx="211">
                  <c:v>-9727.8997977415565</c:v>
                </c:pt>
                <c:pt idx="212">
                  <c:v>36152.103286266443</c:v>
                </c:pt>
                <c:pt idx="213">
                  <c:v>43173.495662944741</c:v>
                </c:pt>
                <c:pt idx="214">
                  <c:v>-14175.746289450326</c:v>
                </c:pt>
                <c:pt idx="215">
                  <c:v>4977.6160121682333</c:v>
                </c:pt>
                <c:pt idx="216">
                  <c:v>21744.13579642179</c:v>
                </c:pt>
                <c:pt idx="217">
                  <c:v>-11361.176274736063</c:v>
                </c:pt>
                <c:pt idx="218">
                  <c:v>40672.399245483102</c:v>
                </c:pt>
                <c:pt idx="219">
                  <c:v>-5473.3414625355508</c:v>
                </c:pt>
                <c:pt idx="220">
                  <c:v>15141.876196693745</c:v>
                </c:pt>
                <c:pt idx="221">
                  <c:v>7138.8004373770673</c:v>
                </c:pt>
                <c:pt idx="222">
                  <c:v>5254.4900530084269</c:v>
                </c:pt>
                <c:pt idx="223">
                  <c:v>-31905.052277921932</c:v>
                </c:pt>
                <c:pt idx="224">
                  <c:v>40571.147932858439</c:v>
                </c:pt>
                <c:pt idx="225">
                  <c:v>12306.40021869872</c:v>
                </c:pt>
                <c:pt idx="226">
                  <c:v>-21476.731081700651</c:v>
                </c:pt>
                <c:pt idx="227">
                  <c:v>22258.791594973474</c:v>
                </c:pt>
                <c:pt idx="228">
                  <c:v>-50818.69585107686</c:v>
                </c:pt>
                <c:pt idx="229">
                  <c:v>57671.717775837751</c:v>
                </c:pt>
                <c:pt idx="230">
                  <c:v>-32197.260877824156</c:v>
                </c:pt>
                <c:pt idx="231">
                  <c:v>26135.095451347879</c:v>
                </c:pt>
                <c:pt idx="232">
                  <c:v>46842.895974721643</c:v>
                </c:pt>
                <c:pt idx="233">
                  <c:v>83826.613294604351</c:v>
                </c:pt>
                <c:pt idx="234">
                  <c:v>8362.8059956963407</c:v>
                </c:pt>
                <c:pt idx="235">
                  <c:v>8085.7998448831495</c:v>
                </c:pt>
                <c:pt idx="236">
                  <c:v>-82033.971156941261</c:v>
                </c:pt>
                <c:pt idx="237">
                  <c:v>-23233.9893119185</c:v>
                </c:pt>
                <c:pt idx="238">
                  <c:v>-13314.499488121481</c:v>
                </c:pt>
                <c:pt idx="239">
                  <c:v>3965.5503800655715</c:v>
                </c:pt>
                <c:pt idx="240">
                  <c:v>25016.265670952736</c:v>
                </c:pt>
                <c:pt idx="241">
                  <c:v>7251.1897042765049</c:v>
                </c:pt>
                <c:pt idx="242">
                  <c:v>-5193.563538994058</c:v>
                </c:pt>
                <c:pt idx="243">
                  <c:v>-10477.961042018491</c:v>
                </c:pt>
                <c:pt idx="244">
                  <c:v>24862.441537567298</c:v>
                </c:pt>
                <c:pt idx="245">
                  <c:v>11580.237017213833</c:v>
                </c:pt>
                <c:pt idx="246">
                  <c:v>-16678.138792572776</c:v>
                </c:pt>
                <c:pt idx="247">
                  <c:v>3948.8317629219964</c:v>
                </c:pt>
                <c:pt idx="248">
                  <c:v>18285.774543538806</c:v>
                </c:pt>
                <c:pt idx="249">
                  <c:v>-8463.9945273931371</c:v>
                </c:pt>
                <c:pt idx="250">
                  <c:v>5350.5959814187372</c:v>
                </c:pt>
                <c:pt idx="251">
                  <c:v>17375.545140076312</c:v>
                </c:pt>
                <c:pt idx="252">
                  <c:v>-19665.83956971881</c:v>
                </c:pt>
                <c:pt idx="253">
                  <c:v>70181.177805456799</c:v>
                </c:pt>
                <c:pt idx="254">
                  <c:v>17019.515658253804</c:v>
                </c:pt>
                <c:pt idx="255">
                  <c:v>-59357.220397502067</c:v>
                </c:pt>
                <c:pt idx="256">
                  <c:v>66620.223475624691</c:v>
                </c:pt>
                <c:pt idx="257">
                  <c:v>2550.0690936011961</c:v>
                </c:pt>
                <c:pt idx="258">
                  <c:v>-14262.861586658517</c:v>
                </c:pt>
                <c:pt idx="259">
                  <c:v>40340.829162560403</c:v>
                </c:pt>
                <c:pt idx="260">
                  <c:v>-424.0676527878968</c:v>
                </c:pt>
                <c:pt idx="261">
                  <c:v>-6525.3598302601604</c:v>
                </c:pt>
                <c:pt idx="262">
                  <c:v>58531.449893885525</c:v>
                </c:pt>
                <c:pt idx="263">
                  <c:v>21193.847606689786</c:v>
                </c:pt>
                <c:pt idx="264">
                  <c:v>-9871.8726875142893</c:v>
                </c:pt>
                <c:pt idx="265">
                  <c:v>38649.283422643784</c:v>
                </c:pt>
                <c:pt idx="266">
                  <c:v>30923.901169023244</c:v>
                </c:pt>
                <c:pt idx="267">
                  <c:v>41432.320506498683</c:v>
                </c:pt>
                <c:pt idx="268">
                  <c:v>-79808.338610787992</c:v>
                </c:pt>
                <c:pt idx="269">
                  <c:v>50476.932587645366</c:v>
                </c:pt>
                <c:pt idx="270">
                  <c:v>-5939.7326649073511</c:v>
                </c:pt>
                <c:pt idx="271">
                  <c:v>-71428.350634973031</c:v>
                </c:pt>
                <c:pt idx="272">
                  <c:v>5221.2574555516476</c:v>
                </c:pt>
                <c:pt idx="273">
                  <c:v>41528.14588468289</c:v>
                </c:pt>
                <c:pt idx="274">
                  <c:v>-8997.2383942551678</c:v>
                </c:pt>
                <c:pt idx="275">
                  <c:v>91668.572257052874</c:v>
                </c:pt>
                <c:pt idx="276">
                  <c:v>-63679.38358230528</c:v>
                </c:pt>
                <c:pt idx="277">
                  <c:v>32899.981247370946</c:v>
                </c:pt>
                <c:pt idx="278">
                  <c:v>9550.190275053028</c:v>
                </c:pt>
                <c:pt idx="279">
                  <c:v>-12997.859893459245</c:v>
                </c:pt>
                <c:pt idx="280">
                  <c:v>-51492.096723981551</c:v>
                </c:pt>
                <c:pt idx="281">
                  <c:v>-36995.910762457526</c:v>
                </c:pt>
                <c:pt idx="282">
                  <c:v>13811.608922852087</c:v>
                </c:pt>
                <c:pt idx="283">
                  <c:v>-8999.4342753458186</c:v>
                </c:pt>
                <c:pt idx="284">
                  <c:v>-12562.979553747107</c:v>
                </c:pt>
                <c:pt idx="285">
                  <c:v>-3323.3819294533459</c:v>
                </c:pt>
                <c:pt idx="286">
                  <c:v>8905.5790149988607</c:v>
                </c:pt>
                <c:pt idx="287">
                  <c:v>-13023.745759743499</c:v>
                </c:pt>
                <c:pt idx="288">
                  <c:v>50188.250314401579</c:v>
                </c:pt>
                <c:pt idx="289">
                  <c:v>-10083.798959154403</c:v>
                </c:pt>
                <c:pt idx="290">
                  <c:v>106192.70634373149</c:v>
                </c:pt>
                <c:pt idx="291">
                  <c:v>-660.51106072228868</c:v>
                </c:pt>
                <c:pt idx="292">
                  <c:v>-49842.176765253185</c:v>
                </c:pt>
                <c:pt idx="293">
                  <c:v>637.0166488212999</c:v>
                </c:pt>
                <c:pt idx="294">
                  <c:v>-9594.7625466982718</c:v>
                </c:pt>
                <c:pt idx="295">
                  <c:v>12161.866473145375</c:v>
                </c:pt>
                <c:pt idx="296">
                  <c:v>-7725.7485264360439</c:v>
                </c:pt>
                <c:pt idx="297">
                  <c:v>80598.237773938221</c:v>
                </c:pt>
                <c:pt idx="298">
                  <c:v>-21437.678101157304</c:v>
                </c:pt>
                <c:pt idx="299">
                  <c:v>-69871.425121836306</c:v>
                </c:pt>
                <c:pt idx="300">
                  <c:v>-24955.196922614006</c:v>
                </c:pt>
                <c:pt idx="301">
                  <c:v>-6421.6194239672041</c:v>
                </c:pt>
                <c:pt idx="302">
                  <c:v>-18634.526272425195</c:v>
                </c:pt>
                <c:pt idx="303">
                  <c:v>51383.354671249981</c:v>
                </c:pt>
                <c:pt idx="304">
                  <c:v>41406.451890726923</c:v>
                </c:pt>
                <c:pt idx="305">
                  <c:v>-93480.754941086867</c:v>
                </c:pt>
                <c:pt idx="306">
                  <c:v>53988.814320102101</c:v>
                </c:pt>
                <c:pt idx="307">
                  <c:v>-49346.588811333291</c:v>
                </c:pt>
                <c:pt idx="308">
                  <c:v>-22282.097101375228</c:v>
                </c:pt>
                <c:pt idx="309">
                  <c:v>-48515.608121502097</c:v>
                </c:pt>
                <c:pt idx="310">
                  <c:v>-20328.170178774977</c:v>
                </c:pt>
                <c:pt idx="311">
                  <c:v>12772.966173886089</c:v>
                </c:pt>
                <c:pt idx="312">
                  <c:v>39492.690647941316</c:v>
                </c:pt>
                <c:pt idx="313">
                  <c:v>-24617.046396170976</c:v>
                </c:pt>
                <c:pt idx="314">
                  <c:v>33445.537383546471</c:v>
                </c:pt>
                <c:pt idx="315">
                  <c:v>33363.594467651565</c:v>
                </c:pt>
                <c:pt idx="316">
                  <c:v>-38789.424119110336</c:v>
                </c:pt>
                <c:pt idx="317">
                  <c:v>24191.533265398582</c:v>
                </c:pt>
                <c:pt idx="318">
                  <c:v>11020.303544730181</c:v>
                </c:pt>
                <c:pt idx="319">
                  <c:v>-21112.599669000367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B1-AE47-BCE2-F088D5A5C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3887"/>
        <c:axId val="19975679"/>
      </c:scatterChart>
      <c:valAx>
        <c:axId val="19973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type_Airport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75679"/>
        <c:crosses val="autoZero"/>
        <c:crossBetween val="midCat"/>
      </c:valAx>
      <c:valAx>
        <c:axId val="19975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7388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24</xdr:row>
      <xdr:rowOff>25400</xdr:rowOff>
    </xdr:from>
    <xdr:to>
      <xdr:col>7</xdr:col>
      <xdr:colOff>393700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3A2FE-476B-A186-77B8-1513EFED9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19</xdr:row>
      <xdr:rowOff>12700</xdr:rowOff>
    </xdr:from>
    <xdr:to>
      <xdr:col>11</xdr:col>
      <xdr:colOff>419100</xdr:colOff>
      <xdr:row>41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7F0B3F-19AA-A366-E8A2-96F02C0EB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71203</xdr:colOff>
      <xdr:row>3</xdr:row>
      <xdr:rowOff>68080</xdr:rowOff>
    </xdr:from>
    <xdr:to>
      <xdr:col>14</xdr:col>
      <xdr:colOff>654154</xdr:colOff>
      <xdr:row>3</xdr:row>
      <xdr:rowOff>1929151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424C3-0E57-8504-52A2-4996013B9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8744</xdr:colOff>
      <xdr:row>4</xdr:row>
      <xdr:rowOff>55380</xdr:rowOff>
    </xdr:from>
    <xdr:to>
      <xdr:col>21</xdr:col>
      <xdr:colOff>196121</xdr:colOff>
      <xdr:row>14</xdr:row>
      <xdr:rowOff>68079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A6703D-F630-9C0A-DBC1-FB62505ED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383499</xdr:colOff>
      <xdr:row>15</xdr:row>
      <xdr:rowOff>172177</xdr:rowOff>
    </xdr:from>
    <xdr:to>
      <xdr:col>24</xdr:col>
      <xdr:colOff>570876</xdr:colOff>
      <xdr:row>25</xdr:row>
      <xdr:rowOff>159479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976E91-4B05-BD00-9101-094601283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216942</xdr:colOff>
      <xdr:row>3</xdr:row>
      <xdr:rowOff>2274964</xdr:rowOff>
    </xdr:from>
    <xdr:to>
      <xdr:col>11</xdr:col>
      <xdr:colOff>612515</xdr:colOff>
      <xdr:row>13</xdr:row>
      <xdr:rowOff>172177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2058C4-EAAE-403F-FE55-2196DD430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258580</xdr:colOff>
      <xdr:row>15</xdr:row>
      <xdr:rowOff>151359</xdr:rowOff>
    </xdr:from>
    <xdr:to>
      <xdr:col>15</xdr:col>
      <xdr:colOff>258580</xdr:colOff>
      <xdr:row>25</xdr:row>
      <xdr:rowOff>151359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D112D5-5241-4268-E64F-6201F0301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529236</xdr:colOff>
      <xdr:row>30</xdr:row>
      <xdr:rowOff>13741</xdr:rowOff>
    </xdr:from>
    <xdr:to>
      <xdr:col>15</xdr:col>
      <xdr:colOff>529237</xdr:colOff>
      <xdr:row>40</xdr:row>
      <xdr:rowOff>26441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E2A507-D697-3A10-5E7B-6405CF405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92023</xdr:colOff>
      <xdr:row>32</xdr:row>
      <xdr:rowOff>26442</xdr:rowOff>
    </xdr:from>
    <xdr:to>
      <xdr:col>29</xdr:col>
      <xdr:colOff>92023</xdr:colOff>
      <xdr:row>42</xdr:row>
      <xdr:rowOff>26441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67053C8-EF6C-D81E-A99F-B4A14F991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71202</xdr:colOff>
      <xdr:row>46</xdr:row>
      <xdr:rowOff>166558</xdr:rowOff>
    </xdr:from>
    <xdr:to>
      <xdr:col>27</xdr:col>
      <xdr:colOff>71202</xdr:colOff>
      <xdr:row>59</xdr:row>
      <xdr:rowOff>151359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D786A9C-7AC3-FA7D-5763-22BA91A45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300220</xdr:colOff>
      <xdr:row>30</xdr:row>
      <xdr:rowOff>26441</xdr:rowOff>
    </xdr:from>
    <xdr:to>
      <xdr:col>9</xdr:col>
      <xdr:colOff>300220</xdr:colOff>
      <xdr:row>40</xdr:row>
      <xdr:rowOff>26439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A32BC37-628B-C50F-9CDF-1B5E7CBA2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779072</xdr:colOff>
      <xdr:row>30</xdr:row>
      <xdr:rowOff>151359</xdr:rowOff>
    </xdr:from>
    <xdr:to>
      <xdr:col>22</xdr:col>
      <xdr:colOff>779072</xdr:colOff>
      <xdr:row>40</xdr:row>
      <xdr:rowOff>151358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570B49D-4BFB-D82B-CAAA-F3D95EF69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300220</xdr:colOff>
      <xdr:row>41</xdr:row>
      <xdr:rowOff>68081</xdr:rowOff>
    </xdr:from>
    <xdr:to>
      <xdr:col>16</xdr:col>
      <xdr:colOff>196122</xdr:colOff>
      <xdr:row>51</xdr:row>
      <xdr:rowOff>68082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325A499-5A37-4880-C278-BBB689496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1C53-7BAB-0B4F-A3CC-70F79E81C323}">
  <dimension ref="A1:N321"/>
  <sheetViews>
    <sheetView workbookViewId="0">
      <selection activeCell="H23" sqref="H23"/>
    </sheetView>
  </sheetViews>
  <sheetFormatPr defaultColWidth="11.19921875" defaultRowHeight="13.8"/>
  <sheetData>
    <row r="1" spans="1:14" ht="41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zoomScale="74" zoomScaleNormal="74" workbookViewId="0">
      <selection activeCell="A2" sqref="A2"/>
    </sheetView>
  </sheetViews>
  <sheetFormatPr defaultColWidth="8.796875" defaultRowHeight="13.8"/>
  <cols>
    <col min="1" max="14" width="16" customWidth="1"/>
  </cols>
  <sheetData>
    <row r="1" spans="1:14" ht="37.20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0.75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0.84400000000000008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0.88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0.86900000000000011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0.97599999999999998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0.84200000000000008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0.85199999999999998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0.95599999999999996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0.8859999999999999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0.85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0.88300000000000001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0.85299999999999998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0.81700000000000006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0.84900000000000009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0.88800000000000001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0.76500000000000001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0.877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0.87599999999999989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0.94099999999999995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0.88300000000000001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0.84799999999999998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0.88500000000000001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0.82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0.92099999999999993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0.94799999999999995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0.86199999999999999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0.91900000000000004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0.84200000000000008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0.85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0.875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0.87599999999999989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0.89900000000000002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0.83299999999999996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0.84699999999999998</v>
      </c>
      <c r="J35">
        <v>0.62</v>
      </c>
      <c r="K35">
        <v>0</v>
      </c>
      <c r="L35" s="8">
        <v>3.9246794871794881</v>
      </c>
      <c r="M35">
        <v>799477.76000000001</v>
      </c>
      <c r="N35">
        <v>164974.41</v>
      </c>
    </row>
    <row r="36" spans="1:14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0.92099999999999993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0.99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0.83099999999999996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0.92900000000000005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0.82900000000000007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0.98299999999999998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0.95200000000000007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0.754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0.88200000000000001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0.878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0.88200000000000001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0.98599999999999999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0.90900000000000003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0.88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0.97299999999999998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0.71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0.80400000000000005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0.93700000000000006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0.84299999999999997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0.88700000000000001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0.88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0.89300000000000002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0.94799999999999995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0.76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0.871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0.8859999999999999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0.95599999999999996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0.86499999999999999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0.88700000000000001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0.91099999999999992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0.95099999999999996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0.93299999999999994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0.99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0.91799999999999993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0.88900000000000001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0.81799999999999995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0.99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0.88</v>
      </c>
      <c r="J73" s="8">
        <v>4.5590445859872624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0.78799999999999992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0.94599999999999995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0.93099999999999994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0.85199999999999998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0.77700000000000002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0.85400000000000009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0.83499999999999996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0.81299999999999994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0.83900000000000008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0.89599999999999991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0.871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0.83599999999999997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0.85400000000000009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0.91900000000000004</v>
      </c>
      <c r="J87">
        <v>5.95</v>
      </c>
      <c r="K87">
        <v>0</v>
      </c>
      <c r="L87" s="8">
        <v>3.9246794871794881</v>
      </c>
      <c r="M87">
        <v>611766.72</v>
      </c>
      <c r="N87">
        <v>88275.61</v>
      </c>
    </row>
    <row r="88" spans="1:14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0.88500000000000001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0.8640000000000001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0.79200000000000004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0.87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0.91799999999999993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0.84699999999999998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0.91099999999999992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0.90900000000000003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0.91299999999999992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0.94099999999999995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0.91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0.85799999999999998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0.89700000000000002</v>
      </c>
      <c r="J100" s="8">
        <v>4.5590445859872624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0.91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0.91400000000000003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0.90400000000000003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0.80500000000000005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0.92099999999999993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0.82299999999999995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0.91799999999999993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0.94099999999999995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0.87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0.73799999999999999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0.86499999999999999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0.89900000000000002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0.91700000000000004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0.76400000000000001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0.94299999999999995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0.88400000000000001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0.92500000000000004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0.91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0.84099999999999997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0.96799999999999997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0.95700000000000007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0.83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0.89400000000000002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0.85699999999999998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0.97799999999999998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0.88099999999999989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0.98299999999999998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0.88200000000000001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0.81499999999999995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0.88300000000000001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0.81200000000000006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0.93799999999999994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0.85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0.879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0.81099999999999994</v>
      </c>
      <c r="J135">
        <v>0.78</v>
      </c>
      <c r="K135">
        <v>0</v>
      </c>
      <c r="L135" s="8">
        <v>3.9246794871794881</v>
      </c>
      <c r="M135">
        <v>400831.65</v>
      </c>
      <c r="N135">
        <v>70979.31</v>
      </c>
    </row>
    <row r="136" spans="1:14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0.95599999999999996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0.89800000000000002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0.78099999999999992</v>
      </c>
      <c r="J138">
        <v>3.4</v>
      </c>
      <c r="K138">
        <v>0</v>
      </c>
      <c r="L138" s="8">
        <v>3.9246794871794881</v>
      </c>
      <c r="M138">
        <v>633638.03</v>
      </c>
      <c r="N138">
        <v>99402.01</v>
      </c>
    </row>
    <row r="139" spans="1:14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0.96299999999999997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0.90200000000000002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0.9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0.88800000000000001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0.94200000000000006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0.88500000000000001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0.94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0.90200000000000002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0.93700000000000006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0.93700000000000006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0.89400000000000002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0.88099999999999989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0.99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0.95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0.94299999999999995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0.87400000000000011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0.87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0.90500000000000003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0.90099999999999991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0.85199999999999998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0.91599999999999993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0.74199999999999999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0.93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0.90099999999999991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0.91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0.72599999999999998</v>
      </c>
      <c r="J164" s="8">
        <v>4.5590445859872624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0.93799999999999994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0.82900000000000007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0.86099999999999999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0.90300000000000002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0.89200000000000002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0.871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0.84099999999999997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0.84699999999999998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0.89800000000000002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0.94400000000000006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0.89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0.83900000000000008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0.93900000000000006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0.7659999999999999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0.90900000000000003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0.86599999999999999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0.89599999999999991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0.89400000000000002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0.8640000000000001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0.76800000000000002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0.90099999999999991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0.93700000000000006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0.95499999999999996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0.99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0.74900000000000011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0.8640000000000001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0.91299999999999992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0.84099999999999997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0.88700000000000001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0.879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0.88500000000000001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0.86599999999999999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0.85400000000000009</v>
      </c>
      <c r="J197">
        <v>13.48</v>
      </c>
      <c r="K197">
        <v>0</v>
      </c>
      <c r="L197" s="8">
        <v>3.9246794871794881</v>
      </c>
      <c r="M197">
        <v>449465.06</v>
      </c>
      <c r="N197">
        <v>65694.78</v>
      </c>
    </row>
    <row r="198" spans="1:14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0.89599999999999991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0.90599999999999992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0.86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0.9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0.84200000000000008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0.83900000000000008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0.80799999999999994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0.88700000000000001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0.94299999999999995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0.94099999999999995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0.83200000000000007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0.93599999999999994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0.87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0.84900000000000009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0.91700000000000004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0.87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0.89700000000000002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0.91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0.88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0.88400000000000001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0.82900000000000007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0.94299999999999995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0.90700000000000003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0.95900000000000007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0.90599999999999992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0.90200000000000002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0.90400000000000003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0.84400000000000008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0.82599999999999996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0.79500000000000004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0.83200000000000007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0.95</v>
      </c>
      <c r="J229">
        <v>5.32</v>
      </c>
      <c r="K229">
        <v>0</v>
      </c>
      <c r="L229" s="8">
        <v>3.9246794871794881</v>
      </c>
      <c r="M229">
        <v>529598.93999999994</v>
      </c>
      <c r="N229">
        <v>84334.33</v>
      </c>
    </row>
    <row r="230" spans="1:14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0.8590000000000001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0.86199999999999999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0.84400000000000008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0.95400000000000007</v>
      </c>
      <c r="J233" s="8">
        <v>4.5590445859872624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0.95299999999999996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0.89200000000000002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0.81200000000000006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0.92200000000000004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0.89400000000000002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0.8909999999999999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0.80900000000000005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0.83700000000000008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0.85599999999999998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0.85499999999999998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0.84799999999999998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0.95200000000000007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0.91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0.89900000000000002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0.91799999999999993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0.90400000000000003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0.96099999999999997</v>
      </c>
      <c r="J250" s="8">
        <v>4.5590445859872624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0.81799999999999995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0.88400000000000001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0.79200000000000004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0.99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0.89500000000000002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0.879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0.88300000000000001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0.878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0.82700000000000007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0.875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0.92200000000000004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0.90300000000000002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0.873</v>
      </c>
      <c r="J263" s="8">
        <v>4.5590445859872624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0.83700000000000008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0.93799999999999994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0.95799999999999996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0.85199999999999998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0.88300000000000001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0.92900000000000005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0.94900000000000007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0.89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0.87599999999999989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0.86199999999999999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0.85599999999999998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0.88099999999999989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0.89800000000000002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0.77599999999999991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0.87400000000000011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0.88700000000000001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0.86499999999999999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0.87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0.83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0.879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0.95799999999999996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0.80900000000000005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0.86299999999999999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0.90400000000000003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0.92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0.82400000000000007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0.72900000000000009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0.89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0.83200000000000007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0.97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0.86699999999999999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0.88700000000000001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0.84799999999999998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0.81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0.93099999999999994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0.96200000000000008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0.91700000000000004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0.89300000000000002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0.88200000000000001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0.83299999999999996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0.873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0.93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0.94499999999999995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0.86900000000000011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0.8590000000000001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0.99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0.875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0.79700000000000004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0.85699999999999998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0.89</v>
      </c>
      <c r="J313">
        <v>0.9</v>
      </c>
      <c r="K313">
        <v>0</v>
      </c>
      <c r="L313" s="8">
        <v>3.9246794871794881</v>
      </c>
      <c r="M313">
        <v>771129.07</v>
      </c>
      <c r="N313">
        <v>116851.13</v>
      </c>
    </row>
    <row r="314" spans="1:14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0.85499999999999998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0.94799999999999995</v>
      </c>
      <c r="J315">
        <v>4.67</v>
      </c>
      <c r="K315">
        <v>0</v>
      </c>
      <c r="L315" s="8">
        <v>3.9246794871794881</v>
      </c>
      <c r="M315">
        <v>688368.46</v>
      </c>
      <c r="N315">
        <v>93588.42</v>
      </c>
    </row>
    <row r="316" spans="1:14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0.98199999999999998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0.94700000000000006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0.92900000000000005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0.88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0.85199999999999998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0.84299999999999997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autoFilter ref="A1:N32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3D5B-5C84-C14A-86B9-145795BE0B0B}">
  <dimension ref="A1:I344"/>
  <sheetViews>
    <sheetView zoomScale="79" zoomScaleNormal="79" workbookViewId="0">
      <selection activeCell="E13" sqref="E13"/>
    </sheetView>
  </sheetViews>
  <sheetFormatPr defaultColWidth="11.19921875" defaultRowHeight="13.8"/>
  <cols>
    <col min="1" max="1" width="15.5" bestFit="1" customWidth="1"/>
    <col min="2" max="2" width="22.296875" bestFit="1" customWidth="1"/>
    <col min="3" max="3" width="13.796875" bestFit="1" customWidth="1"/>
    <col min="4" max="4" width="19.69921875" bestFit="1" customWidth="1"/>
    <col min="5" max="5" width="50.5" bestFit="1" customWidth="1"/>
    <col min="6" max="6" width="13.296875" bestFit="1" customWidth="1"/>
    <col min="7" max="7" width="12.19921875" bestFit="1" customWidth="1"/>
    <col min="8" max="9" width="12.69921875" bestFit="1" customWidth="1"/>
    <col min="12" max="12" width="15.5" bestFit="1" customWidth="1"/>
    <col min="13" max="13" width="22" bestFit="1" customWidth="1"/>
  </cols>
  <sheetData>
    <row r="1" spans="1:9" ht="15" customHeight="1">
      <c r="B1" s="26"/>
      <c r="C1" s="26"/>
      <c r="D1" s="26"/>
      <c r="E1" s="26"/>
      <c r="F1" s="26"/>
      <c r="G1" s="26"/>
      <c r="H1" s="26"/>
      <c r="I1" s="20"/>
    </row>
    <row r="2" spans="1:9" ht="16.05" customHeight="1">
      <c r="A2" s="34" t="s">
        <v>158</v>
      </c>
      <c r="B2" s="34"/>
      <c r="C2" s="34"/>
      <c r="D2" s="34"/>
      <c r="E2" s="34"/>
      <c r="F2" s="34"/>
      <c r="G2" s="34"/>
      <c r="H2" s="34"/>
      <c r="I2" s="34"/>
    </row>
    <row r="3" spans="1:9" ht="14.4" thickBot="1">
      <c r="A3" s="34"/>
      <c r="B3" s="34"/>
      <c r="C3" s="34"/>
      <c r="D3" s="34"/>
      <c r="E3" s="34"/>
      <c r="F3" s="34"/>
      <c r="G3" s="34"/>
      <c r="H3" s="34"/>
      <c r="I3" s="34"/>
    </row>
    <row r="4" spans="1:9" ht="14.4">
      <c r="A4" s="21" t="s">
        <v>117</v>
      </c>
      <c r="B4" s="7"/>
      <c r="C4" s="1"/>
      <c r="F4" s="1"/>
      <c r="G4" s="1"/>
      <c r="H4" s="1"/>
      <c r="I4" s="16"/>
    </row>
    <row r="5" spans="1:9">
      <c r="A5" s="15" t="s">
        <v>118</v>
      </c>
      <c r="B5" s="1">
        <v>0.40895561021322352</v>
      </c>
      <c r="C5" s="1"/>
      <c r="D5" s="25" t="s">
        <v>150</v>
      </c>
      <c r="E5" s="25" t="s">
        <v>151</v>
      </c>
      <c r="F5" s="1"/>
      <c r="G5" s="1"/>
      <c r="H5" s="1"/>
      <c r="I5" s="16"/>
    </row>
    <row r="6" spans="1:9">
      <c r="A6" s="15" t="s">
        <v>119</v>
      </c>
      <c r="B6" s="1">
        <v>0.16724469112487</v>
      </c>
      <c r="C6" s="1"/>
      <c r="D6" s="1"/>
      <c r="E6" s="1"/>
      <c r="F6" s="1"/>
      <c r="G6" s="1"/>
      <c r="H6" s="1"/>
      <c r="I6" s="16"/>
    </row>
    <row r="7" spans="1:9">
      <c r="A7" s="15" t="s">
        <v>120</v>
      </c>
      <c r="B7" s="1">
        <v>0.16462596373847024</v>
      </c>
      <c r="C7" s="1"/>
      <c r="D7" s="1"/>
      <c r="E7" s="1"/>
      <c r="F7" s="1"/>
      <c r="G7" s="1"/>
      <c r="H7" s="1"/>
      <c r="I7" s="16"/>
    </row>
    <row r="8" spans="1:9">
      <c r="A8" s="15" t="s">
        <v>121</v>
      </c>
      <c r="B8" s="1">
        <v>94846.03383215853</v>
      </c>
      <c r="C8" s="1"/>
      <c r="D8" s="1"/>
      <c r="E8" s="1"/>
      <c r="F8" s="1"/>
      <c r="G8" s="1"/>
      <c r="H8" s="1"/>
      <c r="I8" s="16"/>
    </row>
    <row r="9" spans="1:9" ht="14.4" thickBot="1">
      <c r="A9" s="22" t="s">
        <v>122</v>
      </c>
      <c r="B9" s="5">
        <v>320</v>
      </c>
      <c r="C9" s="1"/>
      <c r="D9" s="1"/>
      <c r="E9" s="1"/>
      <c r="F9" s="1"/>
      <c r="G9" s="1"/>
      <c r="H9" s="1"/>
      <c r="I9" s="16"/>
    </row>
    <row r="10" spans="1:9">
      <c r="A10" s="15"/>
      <c r="B10" s="1"/>
      <c r="C10" s="1"/>
      <c r="D10" s="1"/>
      <c r="E10" s="1"/>
      <c r="F10" s="1"/>
      <c r="G10" s="1"/>
      <c r="H10" s="1"/>
      <c r="I10" s="16"/>
    </row>
    <row r="11" spans="1:9" ht="14.4" thickBot="1">
      <c r="A11" s="15" t="s">
        <v>123</v>
      </c>
      <c r="B11" s="1"/>
      <c r="C11" s="1"/>
      <c r="D11" s="1"/>
      <c r="E11" s="1"/>
      <c r="F11" s="1"/>
      <c r="G11" s="1"/>
      <c r="H11" s="1"/>
      <c r="I11" s="16"/>
    </row>
    <row r="12" spans="1:9" ht="14.4">
      <c r="A12" s="13"/>
      <c r="B12" s="6" t="s">
        <v>128</v>
      </c>
      <c r="C12" s="6" t="s">
        <v>129</v>
      </c>
      <c r="D12" s="6" t="s">
        <v>130</v>
      </c>
      <c r="E12" s="6" t="s">
        <v>131</v>
      </c>
      <c r="F12" s="6" t="s">
        <v>132</v>
      </c>
      <c r="G12" s="1"/>
      <c r="H12" s="1"/>
      <c r="I12" s="16"/>
    </row>
    <row r="13" spans="1:9">
      <c r="A13" s="15" t="s">
        <v>124</v>
      </c>
      <c r="B13" s="1">
        <v>1</v>
      </c>
      <c r="C13" s="1">
        <v>574513714277.01416</v>
      </c>
      <c r="D13" s="1">
        <v>574513714277.01416</v>
      </c>
      <c r="E13" s="1">
        <v>63.864872683367629</v>
      </c>
      <c r="F13" s="1">
        <v>2.4800615101359619E-14</v>
      </c>
      <c r="G13" s="1"/>
      <c r="H13" s="1"/>
      <c r="I13" s="16"/>
    </row>
    <row r="14" spans="1:9">
      <c r="A14" s="15" t="s">
        <v>125</v>
      </c>
      <c r="B14" s="1">
        <v>318</v>
      </c>
      <c r="C14" s="1">
        <v>2860654902513.7251</v>
      </c>
      <c r="D14" s="1">
        <v>8995770133.6909599</v>
      </c>
      <c r="E14" s="1"/>
      <c r="F14" s="1"/>
      <c r="G14" s="1"/>
      <c r="H14" s="1"/>
      <c r="I14" s="16"/>
    </row>
    <row r="15" spans="1:9" ht="14.4" thickBot="1">
      <c r="A15" s="22" t="s">
        <v>126</v>
      </c>
      <c r="B15" s="5">
        <v>319</v>
      </c>
      <c r="C15" s="5">
        <v>3435168616790.7393</v>
      </c>
      <c r="D15" s="5"/>
      <c r="E15" s="5"/>
      <c r="F15" s="5"/>
      <c r="G15" s="1"/>
      <c r="H15" s="1"/>
      <c r="I15" s="16"/>
    </row>
    <row r="16" spans="1:9" ht="14.4" thickBot="1">
      <c r="A16" s="15"/>
      <c r="B16" s="1"/>
      <c r="C16" s="1"/>
      <c r="D16" s="1"/>
      <c r="E16" s="1"/>
      <c r="F16" s="1"/>
      <c r="G16" s="1"/>
      <c r="H16" s="1"/>
      <c r="I16" s="16"/>
    </row>
    <row r="17" spans="1:9" ht="14.4">
      <c r="A17" s="13"/>
      <c r="B17" s="6" t="s">
        <v>133</v>
      </c>
      <c r="C17" s="6" t="s">
        <v>121</v>
      </c>
      <c r="D17" s="6" t="s">
        <v>134</v>
      </c>
      <c r="E17" s="6" t="s">
        <v>135</v>
      </c>
      <c r="F17" s="6" t="s">
        <v>136</v>
      </c>
      <c r="G17" s="6" t="s">
        <v>137</v>
      </c>
      <c r="H17" s="6" t="s">
        <v>138</v>
      </c>
      <c r="I17" s="14" t="s">
        <v>139</v>
      </c>
    </row>
    <row r="18" spans="1:9">
      <c r="A18" s="15" t="s">
        <v>127</v>
      </c>
      <c r="B18" s="1">
        <v>560777.34544943704</v>
      </c>
      <c r="C18" s="1">
        <v>15906.905953068674</v>
      </c>
      <c r="D18" s="1">
        <v>35.253703460870398</v>
      </c>
      <c r="E18" s="1">
        <v>6.952876876284135E-112</v>
      </c>
      <c r="F18" s="1">
        <v>529481.27234763221</v>
      </c>
      <c r="G18" s="1">
        <v>592073.41855124186</v>
      </c>
      <c r="H18" s="1">
        <v>529481.27234763221</v>
      </c>
      <c r="I18" s="16">
        <v>592073.41855124186</v>
      </c>
    </row>
    <row r="19" spans="1:9">
      <c r="A19" s="17" t="s">
        <v>4</v>
      </c>
      <c r="B19" s="18">
        <v>2.1295753275898281</v>
      </c>
      <c r="C19" s="18">
        <v>0.26647838106932348</v>
      </c>
      <c r="D19" s="18">
        <v>7.991550080138869</v>
      </c>
      <c r="E19" s="18">
        <v>2.4800615101360068E-14</v>
      </c>
      <c r="F19" s="18">
        <v>1.6052919176921738</v>
      </c>
      <c r="G19" s="18">
        <v>2.6538587374874827</v>
      </c>
      <c r="H19" s="18">
        <v>1.6052919176921738</v>
      </c>
      <c r="I19" s="19">
        <v>2.6538587374874827</v>
      </c>
    </row>
    <row r="22" spans="1:9">
      <c r="A22" s="28" t="s">
        <v>140</v>
      </c>
      <c r="B22" s="29"/>
      <c r="C22" s="30"/>
    </row>
    <row r="23" spans="1:9" ht="14.4" thickBot="1">
      <c r="A23" s="31"/>
      <c r="B23" s="32"/>
      <c r="C23" s="33"/>
    </row>
    <row r="24" spans="1:9" ht="14.4">
      <c r="A24" s="13" t="s">
        <v>141</v>
      </c>
      <c r="B24" s="6" t="s">
        <v>142</v>
      </c>
      <c r="C24" s="14" t="s">
        <v>143</v>
      </c>
    </row>
    <row r="25" spans="1:9">
      <c r="A25" s="15">
        <v>1</v>
      </c>
      <c r="B25" s="1">
        <v>710676.25743644347</v>
      </c>
      <c r="C25" s="16">
        <v>-51843.637436443474</v>
      </c>
    </row>
    <row r="26" spans="1:9">
      <c r="A26" s="15">
        <v>2</v>
      </c>
      <c r="B26" s="1">
        <v>654112.13865375798</v>
      </c>
      <c r="C26" s="16">
        <v>-19676.138653757982</v>
      </c>
    </row>
    <row r="27" spans="1:9">
      <c r="A27" s="15">
        <v>3</v>
      </c>
      <c r="B27" s="1">
        <v>688385.22583544278</v>
      </c>
      <c r="C27" s="16">
        <v>-9663.16583544272</v>
      </c>
    </row>
    <row r="28" spans="1:9">
      <c r="A28" s="15">
        <v>4</v>
      </c>
      <c r="B28" s="1">
        <v>681857.82190734067</v>
      </c>
      <c r="C28" s="16">
        <v>-22937.521907340619</v>
      </c>
    </row>
    <row r="29" spans="1:9">
      <c r="A29" s="15">
        <v>5</v>
      </c>
      <c r="B29" s="1">
        <v>663875.7091369254</v>
      </c>
      <c r="C29" s="16">
        <v>77465.730863074539</v>
      </c>
    </row>
    <row r="30" spans="1:9">
      <c r="A30" s="15">
        <v>6</v>
      </c>
      <c r="B30" s="1">
        <v>698797.69921668014</v>
      </c>
      <c r="C30" s="16">
        <v>63037.640783319832</v>
      </c>
    </row>
    <row r="31" spans="1:9">
      <c r="A31" s="15">
        <v>7</v>
      </c>
      <c r="B31" s="1">
        <v>659192.36837224313</v>
      </c>
      <c r="C31" s="16">
        <v>147423.17162775691</v>
      </c>
    </row>
    <row r="32" spans="1:9">
      <c r="A32" s="15">
        <v>8</v>
      </c>
      <c r="B32" s="1">
        <v>705904.752253199</v>
      </c>
      <c r="C32" s="16">
        <v>144259.50774680101</v>
      </c>
    </row>
    <row r="33" spans="1:3">
      <c r="A33" s="15">
        <v>9</v>
      </c>
      <c r="B33" s="1">
        <v>713763.60926761688</v>
      </c>
      <c r="C33" s="16">
        <v>216818.09073238308</v>
      </c>
    </row>
    <row r="34" spans="1:3">
      <c r="A34" s="15">
        <v>10</v>
      </c>
      <c r="B34" s="1">
        <v>705872.63825725892</v>
      </c>
      <c r="C34" s="16">
        <v>73138.301742741023</v>
      </c>
    </row>
    <row r="35" spans="1:3">
      <c r="A35" s="15">
        <v>11</v>
      </c>
      <c r="B35" s="1">
        <v>633790.28276667313</v>
      </c>
      <c r="C35" s="16">
        <v>89270.477233326877</v>
      </c>
    </row>
    <row r="36" spans="1:3">
      <c r="A36" s="15">
        <v>12</v>
      </c>
      <c r="B36" s="1">
        <v>705545.62066995422</v>
      </c>
      <c r="C36" s="16">
        <v>205246.31933004572</v>
      </c>
    </row>
    <row r="37" spans="1:3">
      <c r="A37" s="15">
        <v>13</v>
      </c>
      <c r="B37" s="1">
        <v>713741.03576914442</v>
      </c>
      <c r="C37" s="16">
        <v>208427.56423085555</v>
      </c>
    </row>
    <row r="38" spans="1:3">
      <c r="A38" s="15">
        <v>14</v>
      </c>
      <c r="B38" s="1">
        <v>679430.51065320056</v>
      </c>
      <c r="C38" s="16">
        <v>47175.769346799469</v>
      </c>
    </row>
    <row r="39" spans="1:3">
      <c r="A39" s="15">
        <v>15</v>
      </c>
      <c r="B39" s="1">
        <v>688359.15983343311</v>
      </c>
      <c r="C39" s="16">
        <v>58141.930166566861</v>
      </c>
    </row>
    <row r="40" spans="1:3">
      <c r="A40" s="15">
        <v>16</v>
      </c>
      <c r="B40" s="1">
        <v>721146.52749207162</v>
      </c>
      <c r="C40" s="16">
        <v>112870.4925079284</v>
      </c>
    </row>
    <row r="41" spans="1:3">
      <c r="A41" s="15">
        <v>17</v>
      </c>
      <c r="B41" s="1">
        <v>664709.60824370303</v>
      </c>
      <c r="C41" s="16">
        <v>1442.9117562969914</v>
      </c>
    </row>
    <row r="42" spans="1:3">
      <c r="A42" s="15">
        <v>18</v>
      </c>
      <c r="B42" s="1">
        <v>686673.3667083598</v>
      </c>
      <c r="C42" s="16">
        <v>-113518.17670835985</v>
      </c>
    </row>
    <row r="43" spans="1:3">
      <c r="A43" s="15">
        <v>19</v>
      </c>
      <c r="B43" s="1">
        <v>728654.1536477101</v>
      </c>
      <c r="C43" s="16">
        <v>-62080.95364771015</v>
      </c>
    </row>
    <row r="44" spans="1:3">
      <c r="A44" s="15">
        <v>20</v>
      </c>
      <c r="B44" s="1">
        <v>649031.05710514181</v>
      </c>
      <c r="C44" s="16">
        <v>-57411.107105141855</v>
      </c>
    </row>
    <row r="45" spans="1:3">
      <c r="A45" s="15">
        <v>21</v>
      </c>
      <c r="B45" s="1">
        <v>625423.33037484554</v>
      </c>
      <c r="C45" s="16">
        <v>-209701.51037484553</v>
      </c>
    </row>
    <row r="46" spans="1:3">
      <c r="A46" s="15">
        <v>22</v>
      </c>
      <c r="B46" s="1">
        <v>632158.32530588121</v>
      </c>
      <c r="C46" s="16">
        <v>-140253.19530588121</v>
      </c>
    </row>
    <row r="47" spans="1:3">
      <c r="A47" s="15">
        <v>23</v>
      </c>
      <c r="B47" s="1">
        <v>650788.89376354753</v>
      </c>
      <c r="C47" s="16">
        <v>-94859.493763547507</v>
      </c>
    </row>
    <row r="48" spans="1:3">
      <c r="A48" s="15">
        <v>24</v>
      </c>
      <c r="B48" s="1">
        <v>692939.7059970526</v>
      </c>
      <c r="C48" s="16">
        <v>-127128.71599705261</v>
      </c>
    </row>
    <row r="49" spans="1:3">
      <c r="A49" s="15">
        <v>25</v>
      </c>
      <c r="B49" s="1">
        <v>683646.79295703582</v>
      </c>
      <c r="C49" s="16">
        <v>128124.34704296419</v>
      </c>
    </row>
    <row r="50" spans="1:3">
      <c r="A50" s="15">
        <v>26</v>
      </c>
      <c r="B50" s="1">
        <v>927949.18293500762</v>
      </c>
      <c r="C50" s="16">
        <v>-127497.24293500767</v>
      </c>
    </row>
    <row r="51" spans="1:3">
      <c r="A51" s="15">
        <v>27</v>
      </c>
      <c r="B51" s="1">
        <v>678480.08118449722</v>
      </c>
      <c r="C51" s="16">
        <v>105192.73881550273</v>
      </c>
    </row>
    <row r="52" spans="1:3">
      <c r="A52" s="15">
        <v>28</v>
      </c>
      <c r="B52" s="1">
        <v>673038.12180086761</v>
      </c>
      <c r="C52" s="16">
        <v>28603.848199132364</v>
      </c>
    </row>
    <row r="53" spans="1:3">
      <c r="A53" s="15">
        <v>29</v>
      </c>
      <c r="B53" s="1">
        <v>706867.53325880237</v>
      </c>
      <c r="C53" s="16">
        <v>-195023.1232588024</v>
      </c>
    </row>
    <row r="54" spans="1:3">
      <c r="A54" s="15">
        <v>30</v>
      </c>
      <c r="B54" s="1">
        <v>695316.95093524118</v>
      </c>
      <c r="C54" s="16">
        <v>-157933.16093524115</v>
      </c>
    </row>
    <row r="55" spans="1:3">
      <c r="A55" s="15">
        <v>31</v>
      </c>
      <c r="B55" s="1">
        <v>656544.51829717786</v>
      </c>
      <c r="C55" s="16">
        <v>-156371.49829717784</v>
      </c>
    </row>
    <row r="56" spans="1:3">
      <c r="A56" s="15">
        <v>32</v>
      </c>
      <c r="B56" s="1">
        <v>709456.52187181311</v>
      </c>
      <c r="C56" s="16">
        <v>-281539.1418718131</v>
      </c>
    </row>
    <row r="57" spans="1:3">
      <c r="A57" s="15">
        <v>33</v>
      </c>
      <c r="B57" s="1">
        <v>677047.53715738084</v>
      </c>
      <c r="C57" s="16">
        <v>-35182.507157380809</v>
      </c>
    </row>
    <row r="58" spans="1:3">
      <c r="A58" s="15">
        <v>34</v>
      </c>
      <c r="B58" s="1">
        <v>717880.18485461432</v>
      </c>
      <c r="C58" s="16">
        <v>81597.575145385694</v>
      </c>
    </row>
    <row r="59" spans="1:3">
      <c r="A59" s="15">
        <v>35</v>
      </c>
      <c r="B59" s="1">
        <v>719247.30832766718</v>
      </c>
      <c r="C59" s="16">
        <v>79704.86167233286</v>
      </c>
    </row>
    <row r="60" spans="1:3">
      <c r="A60" s="15">
        <v>36</v>
      </c>
      <c r="B60" s="1">
        <v>672545.48714033619</v>
      </c>
      <c r="C60" s="16">
        <v>128434.29285966384</v>
      </c>
    </row>
    <row r="61" spans="1:3">
      <c r="A61" s="15">
        <v>37</v>
      </c>
      <c r="B61" s="1">
        <v>721070.20351233077</v>
      </c>
      <c r="C61" s="16">
        <v>99523.726487669279</v>
      </c>
    </row>
    <row r="62" spans="1:3">
      <c r="A62" s="15">
        <v>38</v>
      </c>
      <c r="B62" s="1">
        <v>691204.05951356038</v>
      </c>
      <c r="C62" s="16">
        <v>27126.470486439648</v>
      </c>
    </row>
    <row r="63" spans="1:3">
      <c r="A63" s="15">
        <v>39</v>
      </c>
      <c r="B63" s="1">
        <v>759639.77280468796</v>
      </c>
      <c r="C63" s="16">
        <v>-23006.372804687941</v>
      </c>
    </row>
    <row r="64" spans="1:3">
      <c r="A64" s="15">
        <v>40</v>
      </c>
      <c r="B64" s="1">
        <v>699225.70126601914</v>
      </c>
      <c r="C64" s="16">
        <v>129398.14873398084</v>
      </c>
    </row>
    <row r="65" spans="1:3">
      <c r="A65" s="15">
        <v>41</v>
      </c>
      <c r="B65" s="1">
        <v>646946.22415518458</v>
      </c>
      <c r="C65" s="16">
        <v>-54750.374155184603</v>
      </c>
    </row>
    <row r="66" spans="1:3">
      <c r="A66" s="15">
        <v>42</v>
      </c>
      <c r="B66" s="1">
        <v>659001.622310151</v>
      </c>
      <c r="C66" s="16">
        <v>-126357.16231015103</v>
      </c>
    </row>
    <row r="67" spans="1:3">
      <c r="A67" s="15">
        <v>43</v>
      </c>
      <c r="B67" s="1">
        <v>705753.59499644663</v>
      </c>
      <c r="C67" s="16">
        <v>-48324.414996446576</v>
      </c>
    </row>
    <row r="68" spans="1:3">
      <c r="A68" s="15">
        <v>44</v>
      </c>
      <c r="B68" s="1">
        <v>698948.74999466608</v>
      </c>
      <c r="C68" s="16">
        <v>-93770.749994666083</v>
      </c>
    </row>
    <row r="69" spans="1:3">
      <c r="A69" s="15">
        <v>45</v>
      </c>
      <c r="B69" s="1">
        <v>856480.61364533973</v>
      </c>
      <c r="C69" s="16">
        <v>-261013.01364533976</v>
      </c>
    </row>
    <row r="70" spans="1:3">
      <c r="A70" s="15">
        <v>46</v>
      </c>
      <c r="B70" s="1">
        <v>696282.67075479659</v>
      </c>
      <c r="C70" s="16">
        <v>-96679.270754796569</v>
      </c>
    </row>
    <row r="71" spans="1:3">
      <c r="A71" s="15">
        <v>47</v>
      </c>
      <c r="B71" s="1">
        <v>667349.06779197778</v>
      </c>
      <c r="C71" s="16">
        <v>-52548.977791977813</v>
      </c>
    </row>
    <row r="72" spans="1:3">
      <c r="A72" s="15">
        <v>48</v>
      </c>
      <c r="B72" s="1">
        <v>650419.3485569508</v>
      </c>
      <c r="C72" s="16">
        <v>-65053.618556950823</v>
      </c>
    </row>
    <row r="73" spans="1:3">
      <c r="A73" s="15">
        <v>49</v>
      </c>
      <c r="B73" s="1">
        <v>660066.77200175158</v>
      </c>
      <c r="C73" s="16">
        <v>-37255.032001751591</v>
      </c>
    </row>
    <row r="74" spans="1:3">
      <c r="A74" s="15">
        <v>50</v>
      </c>
      <c r="B74" s="1">
        <v>666639.15256077237</v>
      </c>
      <c r="C74" s="16">
        <v>-63341.582560772425</v>
      </c>
    </row>
    <row r="75" spans="1:3">
      <c r="A75" s="15">
        <v>51</v>
      </c>
      <c r="B75" s="1">
        <v>663609.95943179552</v>
      </c>
      <c r="C75" s="16">
        <v>-37937.099431795534</v>
      </c>
    </row>
    <row r="76" spans="1:3">
      <c r="A76" s="15">
        <v>52</v>
      </c>
      <c r="B76" s="1">
        <v>699865.21273689438</v>
      </c>
      <c r="C76" s="16">
        <v>73949.927263105637</v>
      </c>
    </row>
    <row r="77" spans="1:3">
      <c r="A77" s="15">
        <v>53</v>
      </c>
      <c r="B77" s="1">
        <v>673677.76104626246</v>
      </c>
      <c r="C77" s="16">
        <v>-210143.51104626246</v>
      </c>
    </row>
    <row r="78" spans="1:3">
      <c r="A78" s="15">
        <v>54</v>
      </c>
      <c r="B78" s="1">
        <v>773466.57301289681</v>
      </c>
      <c r="C78" s="16">
        <v>-26788.823012896813</v>
      </c>
    </row>
    <row r="79" spans="1:3">
      <c r="A79" s="15">
        <v>55</v>
      </c>
      <c r="B79" s="1">
        <v>733689.27896075696</v>
      </c>
      <c r="C79" s="16">
        <v>-12836.778960756958</v>
      </c>
    </row>
    <row r="80" spans="1:3">
      <c r="A80" s="15">
        <v>56</v>
      </c>
      <c r="B80" s="1">
        <v>619997.85390425147</v>
      </c>
      <c r="C80" s="16">
        <v>-132532.9439042515</v>
      </c>
    </row>
    <row r="81" spans="1:3">
      <c r="A81" s="15">
        <v>57</v>
      </c>
      <c r="B81" s="1">
        <v>602016.69944273366</v>
      </c>
      <c r="C81" s="16">
        <v>-83967.439442733652</v>
      </c>
    </row>
    <row r="82" spans="1:3">
      <c r="A82" s="15">
        <v>58</v>
      </c>
      <c r="B82" s="1">
        <v>687286.21589613357</v>
      </c>
      <c r="C82" s="16">
        <v>-186987.73589613358</v>
      </c>
    </row>
    <row r="83" spans="1:3">
      <c r="A83" s="15">
        <v>59</v>
      </c>
      <c r="B83" s="1">
        <v>814006.16984930076</v>
      </c>
      <c r="C83" s="16">
        <v>-196715.01984930073</v>
      </c>
    </row>
    <row r="84" spans="1:3">
      <c r="A84" s="15">
        <v>60</v>
      </c>
      <c r="B84" s="1">
        <v>673542.87374501291</v>
      </c>
      <c r="C84" s="16">
        <v>-119786.44374501286</v>
      </c>
    </row>
    <row r="85" spans="1:3">
      <c r="A85" s="15">
        <v>61</v>
      </c>
      <c r="B85" s="1">
        <v>720299.53149702935</v>
      </c>
      <c r="C85" s="16">
        <v>29260.178502970608</v>
      </c>
    </row>
    <row r="86" spans="1:3">
      <c r="A86" s="15">
        <v>62</v>
      </c>
      <c r="B86" s="1">
        <v>640177.83748301235</v>
      </c>
      <c r="C86" s="16">
        <v>-24211.357483012369</v>
      </c>
    </row>
    <row r="87" spans="1:3">
      <c r="A87" s="15">
        <v>63</v>
      </c>
      <c r="B87" s="1">
        <v>667986.96078560397</v>
      </c>
      <c r="C87" s="16">
        <v>-95975.760785604012</v>
      </c>
    </row>
    <row r="88" spans="1:3">
      <c r="A88" s="15">
        <v>64</v>
      </c>
      <c r="B88" s="1">
        <v>720398.53545400896</v>
      </c>
      <c r="C88" s="16">
        <v>41461.654545990983</v>
      </c>
    </row>
    <row r="89" spans="1:3">
      <c r="A89" s="15">
        <v>65</v>
      </c>
      <c r="B89" s="1">
        <v>709933.46156218019</v>
      </c>
      <c r="C89" s="16">
        <v>74569.218437819858</v>
      </c>
    </row>
    <row r="90" spans="1:3">
      <c r="A90" s="15">
        <v>66</v>
      </c>
      <c r="B90" s="1">
        <v>669702.33371197758</v>
      </c>
      <c r="C90" s="16">
        <v>47439.216288022464</v>
      </c>
    </row>
    <row r="91" spans="1:3">
      <c r="A91" s="15">
        <v>67</v>
      </c>
      <c r="B91" s="1">
        <v>729750.84234991227</v>
      </c>
      <c r="C91" s="16">
        <v>-44371.762349912315</v>
      </c>
    </row>
    <row r="92" spans="1:3">
      <c r="A92" s="15">
        <v>68</v>
      </c>
      <c r="B92" s="1">
        <v>650258.69339423743</v>
      </c>
      <c r="C92" s="16">
        <v>90237.956605762593</v>
      </c>
    </row>
    <row r="93" spans="1:3">
      <c r="A93" s="15">
        <v>69</v>
      </c>
      <c r="B93" s="1">
        <v>711843.54156075534</v>
      </c>
      <c r="C93" s="16">
        <v>-49916.40156075533</v>
      </c>
    </row>
    <row r="94" spans="1:3">
      <c r="A94" s="15">
        <v>70</v>
      </c>
      <c r="B94" s="1">
        <v>639174.36029289884</v>
      </c>
      <c r="C94" s="16">
        <v>-160123.86029289884</v>
      </c>
    </row>
    <row r="95" spans="1:3">
      <c r="A95" s="15">
        <v>71</v>
      </c>
      <c r="B95" s="1">
        <v>689769.5988686491</v>
      </c>
      <c r="C95" s="16">
        <v>-84745.728868649108</v>
      </c>
    </row>
    <row r="96" spans="1:3">
      <c r="A96" s="15">
        <v>72</v>
      </c>
      <c r="B96" s="1">
        <v>678076.82480046479</v>
      </c>
      <c r="C96" s="16">
        <v>-3302.7348004648229</v>
      </c>
    </row>
    <row r="97" spans="1:3">
      <c r="A97" s="15">
        <v>73</v>
      </c>
      <c r="B97" s="1">
        <v>659166.83476406534</v>
      </c>
      <c r="C97" s="16">
        <v>-43097.424764065305</v>
      </c>
    </row>
    <row r="98" spans="1:3">
      <c r="A98" s="15">
        <v>74</v>
      </c>
      <c r="B98" s="1">
        <v>675269.53342062281</v>
      </c>
      <c r="C98" s="16">
        <v>-44439.59342062287</v>
      </c>
    </row>
    <row r="99" spans="1:3">
      <c r="A99" s="15">
        <v>75</v>
      </c>
      <c r="B99" s="1">
        <v>710155.93829665345</v>
      </c>
      <c r="C99" s="16">
        <v>77931.741703346604</v>
      </c>
    </row>
    <row r="100" spans="1:3">
      <c r="A100" s="15">
        <v>76</v>
      </c>
      <c r="B100" s="1">
        <v>685889.10800246825</v>
      </c>
      <c r="C100" s="16">
        <v>-5048.7480024682591</v>
      </c>
    </row>
    <row r="101" spans="1:3">
      <c r="A101" s="15">
        <v>77</v>
      </c>
      <c r="B101" s="1">
        <v>682106.02391177125</v>
      </c>
      <c r="C101" s="16">
        <v>-38448.553911771276</v>
      </c>
    </row>
    <row r="102" spans="1:3">
      <c r="A102" s="15">
        <v>78</v>
      </c>
      <c r="B102" s="1">
        <v>677633.14907671476</v>
      </c>
      <c r="C102" s="16">
        <v>13479.450923285214</v>
      </c>
    </row>
    <row r="103" spans="1:3">
      <c r="A103" s="15">
        <v>79</v>
      </c>
      <c r="B103" s="1">
        <v>732341.91794674413</v>
      </c>
      <c r="C103" s="16">
        <v>44580.252053255914</v>
      </c>
    </row>
    <row r="104" spans="1:3">
      <c r="A104" s="15">
        <v>80</v>
      </c>
      <c r="B104" s="1">
        <v>726884.00804391084</v>
      </c>
      <c r="C104" s="16">
        <v>-90322.668043910875</v>
      </c>
    </row>
    <row r="105" spans="1:3">
      <c r="A105" s="15">
        <v>81</v>
      </c>
      <c r="B105" s="1">
        <v>690428.04226418666</v>
      </c>
      <c r="C105" s="16">
        <v>-69058.462264186703</v>
      </c>
    </row>
    <row r="106" spans="1:3">
      <c r="A106" s="15">
        <v>82</v>
      </c>
      <c r="B106" s="1">
        <v>689890.04764917761</v>
      </c>
      <c r="C106" s="16">
        <v>-7682.0376491775969</v>
      </c>
    </row>
    <row r="107" spans="1:3">
      <c r="A107" s="15">
        <v>83</v>
      </c>
      <c r="B107" s="1">
        <v>715663.78674091864</v>
      </c>
      <c r="C107" s="16">
        <v>11578.073259081342</v>
      </c>
    </row>
    <row r="108" spans="1:3">
      <c r="A108" s="15">
        <v>84</v>
      </c>
      <c r="B108" s="1">
        <v>638455.11752175866</v>
      </c>
      <c r="C108" s="16">
        <v>-69354.337521758629</v>
      </c>
    </row>
    <row r="109" spans="1:3">
      <c r="A109" s="15">
        <v>85</v>
      </c>
      <c r="B109" s="1">
        <v>678730.49794726842</v>
      </c>
      <c r="C109" s="16">
        <v>-104294.20794726838</v>
      </c>
    </row>
    <row r="110" spans="1:3">
      <c r="A110" s="15">
        <v>86</v>
      </c>
      <c r="B110" s="1">
        <v>749125.01592046651</v>
      </c>
      <c r="C110" s="16">
        <v>-137358.29592046654</v>
      </c>
    </row>
    <row r="111" spans="1:3">
      <c r="A111" s="15">
        <v>87</v>
      </c>
      <c r="B111" s="1">
        <v>727378.09081566497</v>
      </c>
      <c r="C111" s="16">
        <v>-112781.77081566502</v>
      </c>
    </row>
    <row r="112" spans="1:3">
      <c r="A112" s="15">
        <v>88</v>
      </c>
      <c r="B112" s="1">
        <v>601231.43983643828</v>
      </c>
      <c r="C112" s="16">
        <v>-150519.5198364383</v>
      </c>
    </row>
    <row r="113" spans="1:3">
      <c r="A113" s="15">
        <v>89</v>
      </c>
      <c r="B113" s="1">
        <v>668359.10407410038</v>
      </c>
      <c r="C113" s="16">
        <v>42854.355925899581</v>
      </c>
    </row>
    <row r="114" spans="1:3">
      <c r="A114" s="15">
        <v>90</v>
      </c>
      <c r="B114" s="1">
        <v>862198.05489334639</v>
      </c>
      <c r="C114" s="16">
        <v>-235026.15489334636</v>
      </c>
    </row>
    <row r="115" spans="1:3">
      <c r="A115" s="15">
        <v>91</v>
      </c>
      <c r="B115" s="1">
        <v>735649.95766911563</v>
      </c>
      <c r="C115" s="16">
        <v>4202.6223308843328</v>
      </c>
    </row>
    <row r="116" spans="1:3">
      <c r="A116" s="15">
        <v>92</v>
      </c>
      <c r="B116" s="1">
        <v>627236.08878094982</v>
      </c>
      <c r="C116" s="16">
        <v>-40928.868780949851</v>
      </c>
    </row>
    <row r="117" spans="1:3">
      <c r="A117" s="15">
        <v>93</v>
      </c>
      <c r="B117" s="1">
        <v>643759.63411374553</v>
      </c>
      <c r="C117" s="16">
        <v>-57822.15411374555</v>
      </c>
    </row>
    <row r="118" spans="1:3">
      <c r="A118" s="15">
        <v>94</v>
      </c>
      <c r="B118" s="1">
        <v>704394.41483936575</v>
      </c>
      <c r="C118" s="16">
        <v>49079.135160634294</v>
      </c>
    </row>
    <row r="119" spans="1:3">
      <c r="A119" s="15">
        <v>95</v>
      </c>
      <c r="B119" s="1">
        <v>744819.24886136584</v>
      </c>
      <c r="C119" s="16">
        <v>93431.071138634114</v>
      </c>
    </row>
    <row r="120" spans="1:3">
      <c r="A120" s="15">
        <v>96</v>
      </c>
      <c r="B120" s="1">
        <v>581082.10084664135</v>
      </c>
      <c r="C120" s="16">
        <v>26816.019153358648</v>
      </c>
    </row>
    <row r="121" spans="1:3">
      <c r="A121" s="15">
        <v>97</v>
      </c>
      <c r="B121" s="1">
        <v>690962.69344593131</v>
      </c>
      <c r="C121" s="16">
        <v>150.92655406869017</v>
      </c>
    </row>
    <row r="122" spans="1:3">
      <c r="A122" s="15">
        <v>98</v>
      </c>
      <c r="B122" s="1">
        <v>728671.76523566921</v>
      </c>
      <c r="C122" s="16">
        <v>6837.6347643308109</v>
      </c>
    </row>
    <row r="123" spans="1:3">
      <c r="A123" s="15">
        <v>99</v>
      </c>
      <c r="B123" s="1">
        <v>643304.35220446019</v>
      </c>
      <c r="C123" s="16">
        <v>-37529.022204460227</v>
      </c>
    </row>
    <row r="124" spans="1:3">
      <c r="A124" s="15">
        <v>100</v>
      </c>
      <c r="B124" s="1">
        <v>678119.2885324969</v>
      </c>
      <c r="C124" s="16">
        <v>-2941.6085324968444</v>
      </c>
    </row>
    <row r="125" spans="1:3">
      <c r="A125" s="15">
        <v>101</v>
      </c>
      <c r="B125" s="1">
        <v>673825.3406164645</v>
      </c>
      <c r="C125" s="16">
        <v>-38643.990616464522</v>
      </c>
    </row>
    <row r="126" spans="1:3">
      <c r="A126" s="15">
        <v>102</v>
      </c>
      <c r="B126" s="1">
        <v>695156.93464512611</v>
      </c>
      <c r="C126" s="16">
        <v>-108529.99464512616</v>
      </c>
    </row>
    <row r="127" spans="1:3">
      <c r="A127" s="15">
        <v>103</v>
      </c>
      <c r="B127" s="1">
        <v>752618.8610901701</v>
      </c>
      <c r="C127" s="16">
        <v>-12516.221090170089</v>
      </c>
    </row>
    <row r="128" spans="1:3">
      <c r="A128" s="15">
        <v>104</v>
      </c>
      <c r="B128" s="1">
        <v>629491.58589766012</v>
      </c>
      <c r="C128" s="16">
        <v>-3977.5458976600785</v>
      </c>
    </row>
    <row r="129" spans="1:3">
      <c r="A129" s="15">
        <v>105</v>
      </c>
      <c r="B129" s="1">
        <v>684120.36791838519</v>
      </c>
      <c r="C129" s="16">
        <v>43106.832081614761</v>
      </c>
    </row>
    <row r="130" spans="1:3">
      <c r="A130" s="15">
        <v>106</v>
      </c>
      <c r="B130" s="1">
        <v>719812.6466898825</v>
      </c>
      <c r="C130" s="16">
        <v>63985.243310117512</v>
      </c>
    </row>
    <row r="131" spans="1:3">
      <c r="A131" s="15">
        <v>107</v>
      </c>
      <c r="B131" s="1">
        <v>697696.75136382284</v>
      </c>
      <c r="C131" s="16">
        <v>97457.088636177126</v>
      </c>
    </row>
    <row r="132" spans="1:3">
      <c r="A132" s="15">
        <v>108</v>
      </c>
      <c r="B132" s="1">
        <v>626883.68665574025</v>
      </c>
      <c r="C132" s="16">
        <v>38711.25334425969</v>
      </c>
    </row>
    <row r="133" spans="1:3">
      <c r="A133" s="15">
        <v>109</v>
      </c>
      <c r="B133" s="1">
        <v>721059.87507199205</v>
      </c>
      <c r="C133" s="16">
        <v>-11581.485071992036</v>
      </c>
    </row>
    <row r="134" spans="1:3">
      <c r="A134" s="15">
        <v>110</v>
      </c>
      <c r="B134" s="1">
        <v>708594.78921550396</v>
      </c>
      <c r="C134" s="16">
        <v>-44432.299215503968</v>
      </c>
    </row>
    <row r="135" spans="1:3">
      <c r="A135" s="15">
        <v>111</v>
      </c>
      <c r="B135" s="1">
        <v>669505.26281116239</v>
      </c>
      <c r="C135" s="16">
        <v>-36011.05281116243</v>
      </c>
    </row>
    <row r="136" spans="1:3">
      <c r="A136" s="15">
        <v>112</v>
      </c>
      <c r="B136" s="1">
        <v>673129.50187817449</v>
      </c>
      <c r="C136" s="16">
        <v>40481.658121825545</v>
      </c>
    </row>
    <row r="137" spans="1:3">
      <c r="A137" s="15">
        <v>113</v>
      </c>
      <c r="B137" s="1">
        <v>691588.72470498295</v>
      </c>
      <c r="C137" s="16">
        <v>86809.245295017026</v>
      </c>
    </row>
    <row r="138" spans="1:3">
      <c r="A138" s="15">
        <v>114</v>
      </c>
      <c r="B138" s="1">
        <v>731518.90096989053</v>
      </c>
      <c r="C138" s="16">
        <v>141861.11903010949</v>
      </c>
    </row>
    <row r="139" spans="1:3">
      <c r="A139" s="15">
        <v>115</v>
      </c>
      <c r="B139" s="1">
        <v>632342.10765665222</v>
      </c>
      <c r="C139" s="16">
        <v>64945.792343347799</v>
      </c>
    </row>
    <row r="140" spans="1:3">
      <c r="A140" s="15">
        <v>116</v>
      </c>
      <c r="B140" s="1">
        <v>616126.15818417352</v>
      </c>
      <c r="C140" s="16">
        <v>101948.63181582652</v>
      </c>
    </row>
    <row r="141" spans="1:3">
      <c r="A141" s="15">
        <v>117</v>
      </c>
      <c r="B141" s="1">
        <v>653808.1417757445</v>
      </c>
      <c r="C141" s="16">
        <v>61134.28822425555</v>
      </c>
    </row>
    <row r="142" spans="1:3">
      <c r="A142" s="15">
        <v>118</v>
      </c>
      <c r="B142" s="1">
        <v>682929.80753574288</v>
      </c>
      <c r="C142" s="16">
        <v>137589.23246425716</v>
      </c>
    </row>
    <row r="143" spans="1:3">
      <c r="A143" s="15">
        <v>119</v>
      </c>
      <c r="B143" s="1">
        <v>651104.2838695636</v>
      </c>
      <c r="C143" s="16">
        <v>33113.036130436347</v>
      </c>
    </row>
    <row r="144" spans="1:3">
      <c r="A144" s="15">
        <v>120</v>
      </c>
      <c r="B144" s="1">
        <v>677837.92904021579</v>
      </c>
      <c r="C144" s="16">
        <v>57642.260959784151</v>
      </c>
    </row>
    <row r="145" spans="1:3">
      <c r="A145" s="15">
        <v>121</v>
      </c>
      <c r="B145" s="1">
        <v>654257.46087411267</v>
      </c>
      <c r="C145" s="16">
        <v>-144772.65087411267</v>
      </c>
    </row>
    <row r="146" spans="1:3">
      <c r="A146" s="15">
        <v>122</v>
      </c>
      <c r="B146" s="1">
        <v>737626.1609816124</v>
      </c>
      <c r="C146" s="16">
        <v>-83309.070981612429</v>
      </c>
    </row>
    <row r="147" spans="1:3">
      <c r="A147" s="15">
        <v>123</v>
      </c>
      <c r="B147" s="1">
        <v>663840.54984826699</v>
      </c>
      <c r="C147" s="16">
        <v>-106353.28984826698</v>
      </c>
    </row>
    <row r="148" spans="1:3">
      <c r="A148" s="15">
        <v>124</v>
      </c>
      <c r="B148" s="1">
        <v>601374.46211543912</v>
      </c>
      <c r="C148" s="16">
        <v>-160099.04211543914</v>
      </c>
    </row>
    <row r="149" spans="1:3">
      <c r="A149" s="15">
        <v>125</v>
      </c>
      <c r="B149" s="1">
        <v>691833.9878954615</v>
      </c>
      <c r="C149" s="16">
        <v>222710.18210453854</v>
      </c>
    </row>
    <row r="150" spans="1:3">
      <c r="A150" s="15">
        <v>126</v>
      </c>
      <c r="B150" s="1">
        <v>656069.45263309905</v>
      </c>
      <c r="C150" s="16">
        <v>186370.21736690099</v>
      </c>
    </row>
    <row r="151" spans="1:3">
      <c r="A151" s="15">
        <v>127</v>
      </c>
      <c r="B151" s="1">
        <v>681136.47085662617</v>
      </c>
      <c r="C151" s="16">
        <v>161021.44914337387</v>
      </c>
    </row>
    <row r="152" spans="1:3">
      <c r="A152" s="15">
        <v>128</v>
      </c>
      <c r="B152" s="1">
        <v>641335.98572916887</v>
      </c>
      <c r="C152" s="16">
        <v>55819.314270831179</v>
      </c>
    </row>
    <row r="153" spans="1:3">
      <c r="A153" s="15">
        <v>129</v>
      </c>
      <c r="B153" s="1">
        <v>701862.83957718674</v>
      </c>
      <c r="C153" s="16">
        <v>147155.46042281331</v>
      </c>
    </row>
    <row r="154" spans="1:3">
      <c r="A154" s="15">
        <v>130</v>
      </c>
      <c r="B154" s="1">
        <v>706463.57411491184</v>
      </c>
      <c r="C154" s="16">
        <v>95366.775885088136</v>
      </c>
    </row>
    <row r="155" spans="1:3">
      <c r="A155" s="15">
        <v>131</v>
      </c>
      <c r="B155" s="1">
        <v>668822.69132716337</v>
      </c>
      <c r="C155" s="16">
        <v>56412.58867283666</v>
      </c>
    </row>
    <row r="156" spans="1:3">
      <c r="A156" s="15">
        <v>132</v>
      </c>
      <c r="B156" s="1">
        <v>702299.9775046811</v>
      </c>
      <c r="C156" s="16">
        <v>109152.74249531887</v>
      </c>
    </row>
    <row r="157" spans="1:3">
      <c r="A157" s="15">
        <v>133</v>
      </c>
      <c r="B157" s="1">
        <v>710435.97745223157</v>
      </c>
      <c r="C157" s="16">
        <v>-183135.84745223157</v>
      </c>
    </row>
    <row r="158" spans="1:3">
      <c r="A158" s="15">
        <v>134</v>
      </c>
      <c r="B158" s="1">
        <v>607780.56543288182</v>
      </c>
      <c r="C158" s="16">
        <v>-206948.9154328818</v>
      </c>
    </row>
    <row r="159" spans="1:3">
      <c r="A159" s="15">
        <v>135</v>
      </c>
      <c r="B159" s="1">
        <v>672123.14976136864</v>
      </c>
      <c r="C159" s="16">
        <v>-78875.899761368637</v>
      </c>
    </row>
    <row r="160" spans="1:3">
      <c r="A160" s="15">
        <v>136</v>
      </c>
      <c r="B160" s="1">
        <v>710628.66142787179</v>
      </c>
      <c r="C160" s="16">
        <v>-181552.71142787184</v>
      </c>
    </row>
    <row r="161" spans="1:3">
      <c r="A161" s="15">
        <v>137</v>
      </c>
      <c r="B161" s="1">
        <v>712660.06333285978</v>
      </c>
      <c r="C161" s="16">
        <v>-79022.033332859748</v>
      </c>
    </row>
    <row r="162" spans="1:3">
      <c r="A162" s="15">
        <v>138</v>
      </c>
      <c r="B162" s="1">
        <v>720729.04554485087</v>
      </c>
      <c r="C162" s="16">
        <v>22619.794455149095</v>
      </c>
    </row>
    <row r="163" spans="1:3">
      <c r="A163" s="15">
        <v>139</v>
      </c>
      <c r="B163" s="1">
        <v>709376.9822333277</v>
      </c>
      <c r="C163" s="16">
        <v>49450.657766672317</v>
      </c>
    </row>
    <row r="164" spans="1:3">
      <c r="A164" s="15">
        <v>140</v>
      </c>
      <c r="B164" s="1">
        <v>654930.02335407212</v>
      </c>
      <c r="C164" s="16">
        <v>-8370.313354072161</v>
      </c>
    </row>
    <row r="165" spans="1:3">
      <c r="A165" s="15">
        <v>141</v>
      </c>
      <c r="B165" s="1">
        <v>670302.0647157334</v>
      </c>
      <c r="C165" s="16">
        <v>45588.465284266626</v>
      </c>
    </row>
    <row r="166" spans="1:3">
      <c r="A166" s="15">
        <v>142</v>
      </c>
      <c r="B166" s="1">
        <v>658112.75886416819</v>
      </c>
      <c r="C166" s="16">
        <v>56984.811135831755</v>
      </c>
    </row>
    <row r="167" spans="1:3">
      <c r="A167" s="15">
        <v>143</v>
      </c>
      <c r="B167" s="1">
        <v>654552.3431697241</v>
      </c>
      <c r="C167" s="16">
        <v>28086.936830275925</v>
      </c>
    </row>
    <row r="168" spans="1:3">
      <c r="A168" s="15">
        <v>144</v>
      </c>
      <c r="B168" s="1">
        <v>667678.02329283056</v>
      </c>
      <c r="C168" s="16">
        <v>27420.486707169446</v>
      </c>
    </row>
    <row r="169" spans="1:3">
      <c r="A169" s="15">
        <v>145</v>
      </c>
      <c r="B169" s="1">
        <v>710887.27705565433</v>
      </c>
      <c r="C169" s="16">
        <v>-133154.70705565438</v>
      </c>
    </row>
    <row r="170" spans="1:3">
      <c r="A170" s="15">
        <v>146</v>
      </c>
      <c r="B170" s="1">
        <v>669192.47078704601</v>
      </c>
      <c r="C170" s="16">
        <v>-132134.14078704605</v>
      </c>
    </row>
    <row r="171" spans="1:3">
      <c r="A171" s="15">
        <v>147</v>
      </c>
      <c r="B171" s="1">
        <v>674393.80945441127</v>
      </c>
      <c r="C171" s="16">
        <v>-72824.939454411273</v>
      </c>
    </row>
    <row r="172" spans="1:3">
      <c r="A172" s="15">
        <v>148</v>
      </c>
      <c r="B172" s="1">
        <v>689238.44019044167</v>
      </c>
      <c r="C172" s="16">
        <v>-118273.60019044171</v>
      </c>
    </row>
    <row r="173" spans="1:3">
      <c r="A173" s="15">
        <v>149</v>
      </c>
      <c r="B173" s="1">
        <v>670611.64108110522</v>
      </c>
      <c r="C173" s="16">
        <v>-56586.731081105187</v>
      </c>
    </row>
    <row r="174" spans="1:3">
      <c r="A174" s="15">
        <v>150</v>
      </c>
      <c r="B174" s="1">
        <v>653030.42086610873</v>
      </c>
      <c r="C174" s="16">
        <v>59837.929133891244</v>
      </c>
    </row>
    <row r="175" spans="1:3">
      <c r="A175" s="15">
        <v>151</v>
      </c>
      <c r="B175" s="1">
        <v>661066.60761805496</v>
      </c>
      <c r="C175" s="16">
        <v>35677.542381945066</v>
      </c>
    </row>
    <row r="176" spans="1:3">
      <c r="A176" s="15">
        <v>152</v>
      </c>
      <c r="B176" s="1">
        <v>713798.17227518361</v>
      </c>
      <c r="C176" s="16">
        <v>12049.817724816385</v>
      </c>
    </row>
    <row r="177" spans="1:3">
      <c r="A177" s="15">
        <v>153</v>
      </c>
      <c r="B177" s="1">
        <v>721869.56090729497</v>
      </c>
      <c r="C177" s="16">
        <v>63158.689092705026</v>
      </c>
    </row>
    <row r="178" spans="1:3">
      <c r="A178" s="15">
        <v>154</v>
      </c>
      <c r="B178" s="1">
        <v>697868.22476920031</v>
      </c>
      <c r="C178" s="16">
        <v>624.44523079972714</v>
      </c>
    </row>
    <row r="179" spans="1:3">
      <c r="A179" s="15">
        <v>155</v>
      </c>
      <c r="B179" s="1">
        <v>691605.33539253811</v>
      </c>
      <c r="C179" s="16">
        <v>-5775.0953925381182</v>
      </c>
    </row>
    <row r="180" spans="1:3">
      <c r="A180" s="15">
        <v>156</v>
      </c>
      <c r="B180" s="1">
        <v>651706.25092741335</v>
      </c>
      <c r="C180" s="16">
        <v>50612.689072586596</v>
      </c>
    </row>
    <row r="181" spans="1:3">
      <c r="A181" s="15">
        <v>157</v>
      </c>
      <c r="B181" s="1">
        <v>745801.89880477567</v>
      </c>
      <c r="C181" s="16">
        <v>-45723.578804775723</v>
      </c>
    </row>
    <row r="182" spans="1:3">
      <c r="A182" s="15">
        <v>158</v>
      </c>
      <c r="B182" s="1">
        <v>649927.92775435618</v>
      </c>
      <c r="C182" s="16">
        <v>-47925.607754356228</v>
      </c>
    </row>
    <row r="183" spans="1:3">
      <c r="A183" s="15">
        <v>159</v>
      </c>
      <c r="B183" s="1">
        <v>681988.85467724735</v>
      </c>
      <c r="C183" s="16">
        <v>42227.2153227526</v>
      </c>
    </row>
    <row r="184" spans="1:3">
      <c r="A184" s="15">
        <v>160</v>
      </c>
      <c r="B184" s="1">
        <v>610299.70397514768</v>
      </c>
      <c r="C184" s="16">
        <v>10673.326024852344</v>
      </c>
    </row>
    <row r="185" spans="1:3">
      <c r="A185" s="15">
        <v>161</v>
      </c>
      <c r="B185" s="1">
        <v>649034.20887662657</v>
      </c>
      <c r="C185" s="16">
        <v>1445.8511233734898</v>
      </c>
    </row>
    <row r="186" spans="1:3">
      <c r="A186" s="15">
        <v>162</v>
      </c>
      <c r="B186" s="1">
        <v>663931.52530626161</v>
      </c>
      <c r="C186" s="16">
        <v>114367.35469373839</v>
      </c>
    </row>
    <row r="187" spans="1:3">
      <c r="A187" s="15">
        <v>163</v>
      </c>
      <c r="B187" s="1">
        <v>682468.30726650089</v>
      </c>
      <c r="C187" s="16">
        <v>-5371.5972665009322</v>
      </c>
    </row>
    <row r="188" spans="1:3">
      <c r="A188" s="15">
        <v>164</v>
      </c>
      <c r="B188" s="1">
        <v>703183.36794207199</v>
      </c>
      <c r="C188" s="16">
        <v>-11174.727942071971</v>
      </c>
    </row>
    <row r="189" spans="1:3">
      <c r="A189" s="15">
        <v>165</v>
      </c>
      <c r="B189" s="1">
        <v>714427.33400996681</v>
      </c>
      <c r="C189" s="16">
        <v>111370.57599003322</v>
      </c>
    </row>
    <row r="190" spans="1:3">
      <c r="A190" s="15">
        <v>166</v>
      </c>
      <c r="B190" s="1">
        <v>635958.38211193902</v>
      </c>
      <c r="C190" s="16">
        <v>70327.137888060999</v>
      </c>
    </row>
    <row r="191" spans="1:3">
      <c r="A191" s="15">
        <v>167</v>
      </c>
      <c r="B191" s="1">
        <v>625307.43888551812</v>
      </c>
      <c r="C191" s="16">
        <v>40227.261114481837</v>
      </c>
    </row>
    <row r="192" spans="1:3">
      <c r="A192" s="15">
        <v>168</v>
      </c>
      <c r="B192" s="1">
        <v>727804.49568350834</v>
      </c>
      <c r="C192" s="16">
        <v>92924.794316491694</v>
      </c>
    </row>
    <row r="193" spans="1:3">
      <c r="A193" s="15">
        <v>169</v>
      </c>
      <c r="B193" s="1">
        <v>692937.04402789311</v>
      </c>
      <c r="C193" s="16">
        <v>46894.685972106876</v>
      </c>
    </row>
    <row r="194" spans="1:3">
      <c r="A194" s="15">
        <v>170</v>
      </c>
      <c r="B194" s="1">
        <v>630700.84395167872</v>
      </c>
      <c r="C194" s="16">
        <v>-37063.703951678704</v>
      </c>
    </row>
    <row r="195" spans="1:3">
      <c r="A195" s="15">
        <v>171</v>
      </c>
      <c r="B195" s="1">
        <v>669013.18184021628</v>
      </c>
      <c r="C195" s="16">
        <v>100689.57815978373</v>
      </c>
    </row>
    <row r="196" spans="1:3">
      <c r="A196" s="15">
        <v>172</v>
      </c>
      <c r="B196" s="1">
        <v>638733.66597460734</v>
      </c>
      <c r="C196" s="16">
        <v>40997.904025392607</v>
      </c>
    </row>
    <row r="197" spans="1:3">
      <c r="A197" s="15">
        <v>173</v>
      </c>
      <c r="B197" s="1">
        <v>699706.13345992344</v>
      </c>
      <c r="C197" s="16">
        <v>80638.046540076612</v>
      </c>
    </row>
    <row r="198" spans="1:3">
      <c r="A198" s="15">
        <v>174</v>
      </c>
      <c r="B198" s="1">
        <v>653724.74760591611</v>
      </c>
      <c r="C198" s="16">
        <v>67639.362394083873</v>
      </c>
    </row>
    <row r="199" spans="1:3">
      <c r="A199" s="15">
        <v>175</v>
      </c>
      <c r="B199" s="1">
        <v>705673.9701749481</v>
      </c>
      <c r="C199" s="16">
        <v>52464.319825051934</v>
      </c>
    </row>
    <row r="200" spans="1:3">
      <c r="A200" s="15">
        <v>176</v>
      </c>
      <c r="B200" s="1">
        <v>695034.16462749057</v>
      </c>
      <c r="C200" s="16">
        <v>109229.83537250943</v>
      </c>
    </row>
    <row r="201" spans="1:3">
      <c r="A201" s="15">
        <v>177</v>
      </c>
      <c r="B201" s="1">
        <v>704511.09427156439</v>
      </c>
      <c r="C201" s="16">
        <v>183026.65572843561</v>
      </c>
    </row>
    <row r="202" spans="1:3">
      <c r="A202" s="15">
        <v>178</v>
      </c>
      <c r="B202" s="1">
        <v>623364.11621607933</v>
      </c>
      <c r="C202" s="16">
        <v>160217.88378392067</v>
      </c>
    </row>
    <row r="203" spans="1:3">
      <c r="A203" s="15">
        <v>179</v>
      </c>
      <c r="B203" s="1">
        <v>647099.87301507022</v>
      </c>
      <c r="C203" s="16">
        <v>134855.6469849298</v>
      </c>
    </row>
    <row r="204" spans="1:3">
      <c r="A204" s="15">
        <v>180</v>
      </c>
      <c r="B204" s="1">
        <v>720243.26811687439</v>
      </c>
      <c r="C204" s="16">
        <v>177787.77188312565</v>
      </c>
    </row>
    <row r="205" spans="1:3">
      <c r="A205" s="15">
        <v>181</v>
      </c>
      <c r="B205" s="1">
        <v>706634.32346467802</v>
      </c>
      <c r="C205" s="16">
        <v>148706.95653532201</v>
      </c>
    </row>
    <row r="206" spans="1:3">
      <c r="A206" s="15">
        <v>182</v>
      </c>
      <c r="B206" s="1">
        <v>657053.84882827743</v>
      </c>
      <c r="C206" s="16">
        <v>94340.03117172257</v>
      </c>
    </row>
    <row r="207" spans="1:3">
      <c r="A207" s="15">
        <v>183</v>
      </c>
      <c r="B207" s="1">
        <v>694962.37664319749</v>
      </c>
      <c r="C207" s="16">
        <v>66114.703356802464</v>
      </c>
    </row>
    <row r="208" spans="1:3">
      <c r="A208" s="15">
        <v>184</v>
      </c>
      <c r="B208" s="1">
        <v>684183.85055890062</v>
      </c>
      <c r="C208" s="16">
        <v>135476.73944109934</v>
      </c>
    </row>
    <row r="209" spans="1:3">
      <c r="A209" s="15">
        <v>185</v>
      </c>
      <c r="B209" s="1">
        <v>713982.44442828</v>
      </c>
      <c r="C209" s="16">
        <v>-32126.88442827994</v>
      </c>
    </row>
    <row r="210" spans="1:3">
      <c r="A210" s="15">
        <v>186</v>
      </c>
      <c r="B210" s="1">
        <v>682478.06072150124</v>
      </c>
      <c r="C210" s="16">
        <v>-4166.8907215012005</v>
      </c>
    </row>
    <row r="211" spans="1:3">
      <c r="A211" s="15">
        <v>187</v>
      </c>
      <c r="B211" s="1">
        <v>663064.55389464647</v>
      </c>
      <c r="C211" s="16">
        <v>102842.39610535349</v>
      </c>
    </row>
    <row r="212" spans="1:3">
      <c r="A212" s="15">
        <v>188</v>
      </c>
      <c r="B212" s="1">
        <v>715778.05975299713</v>
      </c>
      <c r="C212" s="16">
        <v>-3231.6797529971227</v>
      </c>
    </row>
    <row r="213" spans="1:3">
      <c r="A213" s="15">
        <v>189</v>
      </c>
      <c r="B213" s="1">
        <v>713344.16811109474</v>
      </c>
      <c r="C213" s="16">
        <v>-87350.338111094781</v>
      </c>
    </row>
    <row r="214" spans="1:3">
      <c r="A214" s="15">
        <v>190</v>
      </c>
      <c r="B214" s="1">
        <v>679583.39286596817</v>
      </c>
      <c r="C214" s="16">
        <v>-128620.46286596812</v>
      </c>
    </row>
    <row r="215" spans="1:3">
      <c r="A215" s="15">
        <v>191</v>
      </c>
      <c r="B215" s="1">
        <v>641074.85720249976</v>
      </c>
      <c r="C215" s="16">
        <v>-197799.26720249973</v>
      </c>
    </row>
    <row r="216" spans="1:3">
      <c r="A216" s="15">
        <v>192</v>
      </c>
      <c r="B216" s="1">
        <v>677831.9662292985</v>
      </c>
      <c r="C216" s="16">
        <v>-123819.89622929855</v>
      </c>
    </row>
    <row r="217" spans="1:3">
      <c r="A217" s="15">
        <v>193</v>
      </c>
      <c r="B217" s="1">
        <v>734969.66483071703</v>
      </c>
      <c r="C217" s="16">
        <v>-91540.814830717049</v>
      </c>
    </row>
    <row r="218" spans="1:3">
      <c r="A218" s="15">
        <v>194</v>
      </c>
      <c r="B218" s="1">
        <v>669669.83639247855</v>
      </c>
      <c r="C218" s="16">
        <v>-57745.566392478533</v>
      </c>
    </row>
    <row r="219" spans="1:3">
      <c r="A219" s="15">
        <v>195</v>
      </c>
      <c r="B219" s="1">
        <v>646429.24844865885</v>
      </c>
      <c r="C219" s="16">
        <v>-87007.228448658832</v>
      </c>
    </row>
    <row r="220" spans="1:3">
      <c r="A220" s="15">
        <v>196</v>
      </c>
      <c r="B220" s="1">
        <v>649490.42779905617</v>
      </c>
      <c r="C220" s="16">
        <v>-200025.36779905617</v>
      </c>
    </row>
    <row r="221" spans="1:3">
      <c r="A221" s="15">
        <v>197</v>
      </c>
      <c r="B221" s="1">
        <v>713790.42062099115</v>
      </c>
      <c r="C221" s="16">
        <v>-22342.990620991099</v>
      </c>
    </row>
    <row r="222" spans="1:3">
      <c r="A222" s="15">
        <v>198</v>
      </c>
      <c r="B222" s="1">
        <v>675780.43983746483</v>
      </c>
      <c r="C222" s="16">
        <v>-101713.82983746484</v>
      </c>
    </row>
    <row r="223" spans="1:3">
      <c r="A223" s="15">
        <v>199</v>
      </c>
      <c r="B223" s="1">
        <v>676795.18248106143</v>
      </c>
      <c r="C223" s="16">
        <v>-97845.342481061467</v>
      </c>
    </row>
    <row r="224" spans="1:3">
      <c r="A224" s="15">
        <v>200</v>
      </c>
      <c r="B224" s="1">
        <v>691515.8080457662</v>
      </c>
      <c r="C224" s="16">
        <v>44270.831954233814</v>
      </c>
    </row>
    <row r="225" spans="1:3">
      <c r="A225" s="15">
        <v>201</v>
      </c>
      <c r="B225" s="1">
        <v>608294.41066367598</v>
      </c>
      <c r="C225" s="16">
        <v>-9389.5106636759592</v>
      </c>
    </row>
    <row r="226" spans="1:3">
      <c r="A226" s="15">
        <v>202</v>
      </c>
      <c r="B226" s="1">
        <v>727122.66955087392</v>
      </c>
      <c r="C226" s="16">
        <v>60592.840449126088</v>
      </c>
    </row>
    <row r="227" spans="1:3">
      <c r="A227" s="15">
        <v>203</v>
      </c>
      <c r="B227" s="1">
        <v>635745.27550890716</v>
      </c>
      <c r="C227" s="16">
        <v>-28660.355508907116</v>
      </c>
    </row>
    <row r="228" spans="1:3">
      <c r="A228" s="15">
        <v>204</v>
      </c>
      <c r="B228" s="1">
        <v>697292.23853034712</v>
      </c>
      <c r="C228" s="16">
        <v>-46496.748530347133</v>
      </c>
    </row>
    <row r="229" spans="1:3">
      <c r="A229" s="15">
        <v>205</v>
      </c>
      <c r="B229" s="1">
        <v>756890.23550773016</v>
      </c>
      <c r="C229" s="16">
        <v>68170.284492269857</v>
      </c>
    </row>
    <row r="230" spans="1:3">
      <c r="A230" s="15">
        <v>206</v>
      </c>
      <c r="B230" s="1">
        <v>676415.13846809976</v>
      </c>
      <c r="C230" s="16">
        <v>119049.33153190021</v>
      </c>
    </row>
    <row r="231" spans="1:3">
      <c r="A231" s="15">
        <v>207</v>
      </c>
      <c r="B231" s="1">
        <v>641665.75046864618</v>
      </c>
      <c r="C231" s="16">
        <v>30202.839531353791</v>
      </c>
    </row>
    <row r="232" spans="1:3">
      <c r="A232" s="15">
        <v>208</v>
      </c>
      <c r="B232" s="1">
        <v>680914.84595228394</v>
      </c>
      <c r="C232" s="16">
        <v>-4997.2159522839356</v>
      </c>
    </row>
    <row r="233" spans="1:3">
      <c r="A233" s="15">
        <v>209</v>
      </c>
      <c r="B233" s="1">
        <v>695914.21163161704</v>
      </c>
      <c r="C233" s="16">
        <v>114532.31836838298</v>
      </c>
    </row>
    <row r="234" spans="1:3">
      <c r="A234" s="15">
        <v>210</v>
      </c>
      <c r="B234" s="1">
        <v>694833.47344861843</v>
      </c>
      <c r="C234" s="16">
        <v>-3545.2834486184875</v>
      </c>
    </row>
    <row r="235" spans="1:3">
      <c r="A235" s="15">
        <v>211</v>
      </c>
      <c r="B235" s="1">
        <v>790707.99818862299</v>
      </c>
      <c r="C235" s="16">
        <v>156125.54181137704</v>
      </c>
    </row>
    <row r="236" spans="1:3">
      <c r="A236" s="15">
        <v>212</v>
      </c>
      <c r="B236" s="1">
        <v>665990.6116905082</v>
      </c>
      <c r="C236" s="16">
        <v>95972.61830949178</v>
      </c>
    </row>
    <row r="237" spans="1:3">
      <c r="A237" s="15">
        <v>213</v>
      </c>
      <c r="B237" s="1">
        <v>669146.02474915131</v>
      </c>
      <c r="C237" s="16">
        <v>143006.57525084866</v>
      </c>
    </row>
    <row r="238" spans="1:3">
      <c r="A238" s="15">
        <v>214</v>
      </c>
      <c r="B238" s="1">
        <v>649835.01438281348</v>
      </c>
      <c r="C238" s="16">
        <v>155140.48561718652</v>
      </c>
    </row>
    <row r="239" spans="1:3">
      <c r="A239" s="15">
        <v>215</v>
      </c>
      <c r="B239" s="1">
        <v>635943.98618272447</v>
      </c>
      <c r="C239" s="16">
        <v>116377.7338172755</v>
      </c>
    </row>
    <row r="240" spans="1:3">
      <c r="A240" s="15">
        <v>216</v>
      </c>
      <c r="B240" s="1">
        <v>661700.24146102602</v>
      </c>
      <c r="C240" s="16">
        <v>175207.99853897397</v>
      </c>
    </row>
    <row r="241" spans="1:3">
      <c r="A241" s="15">
        <v>217</v>
      </c>
      <c r="B241" s="1">
        <v>708102.51658277819</v>
      </c>
      <c r="C241" s="16">
        <v>-33813.416582778213</v>
      </c>
    </row>
    <row r="242" spans="1:3">
      <c r="A242" s="15">
        <v>218</v>
      </c>
      <c r="B242" s="1">
        <v>633155.92486809066</v>
      </c>
      <c r="C242" s="16">
        <v>-10263.504868090618</v>
      </c>
    </row>
    <row r="243" spans="1:3">
      <c r="A243" s="15">
        <v>219</v>
      </c>
      <c r="B243" s="1">
        <v>685965.13384166325</v>
      </c>
      <c r="C243" s="16">
        <v>-12616.573841663194</v>
      </c>
    </row>
    <row r="244" spans="1:3">
      <c r="A244" s="15">
        <v>220</v>
      </c>
      <c r="B244" s="1">
        <v>595812.79930264573</v>
      </c>
      <c r="C244" s="16">
        <v>10465.50069735432</v>
      </c>
    </row>
    <row r="245" spans="1:3">
      <c r="A245" s="15">
        <v>221</v>
      </c>
      <c r="B245" s="1">
        <v>674427.94654691254</v>
      </c>
      <c r="C245" s="16">
        <v>37791.863453087513</v>
      </c>
    </row>
    <row r="246" spans="1:3">
      <c r="A246" s="15">
        <v>222</v>
      </c>
      <c r="B246" s="1">
        <v>618690.37983612448</v>
      </c>
      <c r="C246" s="16">
        <v>53980.160163875553</v>
      </c>
    </row>
    <row r="247" spans="1:3">
      <c r="A247" s="15">
        <v>223</v>
      </c>
      <c r="B247" s="1">
        <v>703379.54442124953</v>
      </c>
      <c r="C247" s="16">
        <v>29288.375578750507</v>
      </c>
    </row>
    <row r="248" spans="1:3">
      <c r="A248" s="15">
        <v>224</v>
      </c>
      <c r="B248" s="1">
        <v>717388.42331996735</v>
      </c>
      <c r="C248" s="16">
        <v>6142.9766800326761</v>
      </c>
    </row>
    <row r="249" spans="1:3">
      <c r="A249" s="15">
        <v>225</v>
      </c>
      <c r="B249" s="1">
        <v>706040.55527183937</v>
      </c>
      <c r="C249" s="16">
        <v>-64475.955271839397</v>
      </c>
    </row>
    <row r="250" spans="1:3">
      <c r="A250" s="15">
        <v>226</v>
      </c>
      <c r="B250" s="1">
        <v>682644.38055458595</v>
      </c>
      <c r="C250" s="16">
        <v>-146098.89055458596</v>
      </c>
    </row>
    <row r="251" spans="1:3">
      <c r="A251" s="15">
        <v>227</v>
      </c>
      <c r="B251" s="1">
        <v>652204.31600503006</v>
      </c>
      <c r="C251" s="16">
        <v>-124522.75600503001</v>
      </c>
    </row>
    <row r="252" spans="1:3">
      <c r="A252" s="15">
        <v>228</v>
      </c>
      <c r="B252" s="1">
        <v>644557.92672104586</v>
      </c>
      <c r="C252" s="16">
        <v>-114958.98672104592</v>
      </c>
    </row>
    <row r="253" spans="1:3">
      <c r="A253" s="15">
        <v>229</v>
      </c>
      <c r="B253" s="1">
        <v>640262.10477872519</v>
      </c>
      <c r="C253" s="16">
        <v>-69298.794778725132</v>
      </c>
    </row>
    <row r="254" spans="1:3">
      <c r="A254" s="15">
        <v>230</v>
      </c>
      <c r="B254" s="1">
        <v>802986.72490819369</v>
      </c>
      <c r="C254" s="16">
        <v>67950.675091806334</v>
      </c>
    </row>
    <row r="255" spans="1:3">
      <c r="A255" s="15">
        <v>231</v>
      </c>
      <c r="B255" s="1">
        <v>631423.77088813565</v>
      </c>
      <c r="C255" s="16">
        <v>-34454.500888135633</v>
      </c>
    </row>
    <row r="256" spans="1:3">
      <c r="A256" s="15">
        <v>232</v>
      </c>
      <c r="B256" s="1">
        <v>615758.89162317745</v>
      </c>
      <c r="C256" s="16">
        <v>31753.958376822527</v>
      </c>
    </row>
    <row r="257" spans="1:3">
      <c r="A257" s="15">
        <v>233</v>
      </c>
      <c r="B257" s="1">
        <v>661382.57270940952</v>
      </c>
      <c r="C257" s="16">
        <v>-3310.4327094095061</v>
      </c>
    </row>
    <row r="258" spans="1:3">
      <c r="A258" s="15">
        <v>234</v>
      </c>
      <c r="B258" s="1">
        <v>692067.34675985877</v>
      </c>
      <c r="C258" s="16">
        <v>31237.763240141212</v>
      </c>
    </row>
    <row r="259" spans="1:3">
      <c r="A259" s="15">
        <v>235</v>
      </c>
      <c r="B259" s="1">
        <v>694051.9405991463</v>
      </c>
      <c r="C259" s="16">
        <v>-53385.410599146271</v>
      </c>
    </row>
    <row r="260" spans="1:3">
      <c r="A260" s="15">
        <v>236</v>
      </c>
      <c r="B260" s="1">
        <v>662878.00309594965</v>
      </c>
      <c r="C260" s="16">
        <v>7751.4769040503306</v>
      </c>
    </row>
    <row r="261" spans="1:3">
      <c r="A261" s="15">
        <v>237</v>
      </c>
      <c r="B261" s="1">
        <v>659792.80213585717</v>
      </c>
      <c r="C261" s="16">
        <v>61286.547864142805</v>
      </c>
    </row>
    <row r="262" spans="1:3">
      <c r="A262" s="15">
        <v>238</v>
      </c>
      <c r="B262" s="1">
        <v>716155.31402227969</v>
      </c>
      <c r="C262" s="16">
        <v>94199.705977720325</v>
      </c>
    </row>
    <row r="263" spans="1:3">
      <c r="A263" s="15">
        <v>239</v>
      </c>
      <c r="B263" s="1">
        <v>686550.17077565868</v>
      </c>
      <c r="C263" s="16">
        <v>75369.079224341316</v>
      </c>
    </row>
    <row r="264" spans="1:3">
      <c r="A264" s="15">
        <v>240</v>
      </c>
      <c r="B264" s="1">
        <v>616674.65160554764</v>
      </c>
      <c r="C264" s="16">
        <v>120395.52839445241</v>
      </c>
    </row>
    <row r="265" spans="1:3">
      <c r="A265" s="15">
        <v>241</v>
      </c>
      <c r="B265" s="1">
        <v>709634.91639700532</v>
      </c>
      <c r="C265" s="16">
        <v>67358.013602994732</v>
      </c>
    </row>
    <row r="266" spans="1:3">
      <c r="A266" s="15">
        <v>242</v>
      </c>
      <c r="B266" s="1">
        <v>671050.16323256248</v>
      </c>
      <c r="C266" s="16">
        <v>5287.2467674375512</v>
      </c>
    </row>
    <row r="267" spans="1:3">
      <c r="A267" s="15">
        <v>243</v>
      </c>
      <c r="B267" s="1">
        <v>711550.51199567888</v>
      </c>
      <c r="C267" s="16">
        <v>116669.15800432116</v>
      </c>
    </row>
    <row r="268" spans="1:3">
      <c r="A268" s="15">
        <v>244</v>
      </c>
      <c r="B268" s="1">
        <v>674808.30999617337</v>
      </c>
      <c r="C268" s="16">
        <v>88351.610003826674</v>
      </c>
    </row>
    <row r="269" spans="1:3">
      <c r="A269" s="15">
        <v>245</v>
      </c>
      <c r="B269" s="1">
        <v>724631.55621991912</v>
      </c>
      <c r="C269" s="16">
        <v>77370.123780080932</v>
      </c>
    </row>
    <row r="270" spans="1:3">
      <c r="A270" s="15">
        <v>246</v>
      </c>
      <c r="B270" s="1">
        <v>663126.39676215965</v>
      </c>
      <c r="C270" s="16">
        <v>87344.943237840314</v>
      </c>
    </row>
    <row r="271" spans="1:3">
      <c r="A271" s="15">
        <v>247</v>
      </c>
      <c r="B271" s="1">
        <v>682993.75868283038</v>
      </c>
      <c r="C271" s="16">
        <v>-3762.8986828303896</v>
      </c>
    </row>
    <row r="272" spans="1:3">
      <c r="A272" s="15">
        <v>248</v>
      </c>
      <c r="B272" s="1">
        <v>606640.26302797056</v>
      </c>
      <c r="C272" s="16">
        <v>73248.476972029428</v>
      </c>
    </row>
    <row r="273" spans="1:3">
      <c r="A273" s="15">
        <v>249</v>
      </c>
      <c r="B273" s="1">
        <v>647927.38339586509</v>
      </c>
      <c r="C273" s="16">
        <v>-41143.713395865052</v>
      </c>
    </row>
    <row r="274" spans="1:3">
      <c r="A274" s="15">
        <v>250</v>
      </c>
      <c r="B274" s="1">
        <v>716092.7045076486</v>
      </c>
      <c r="C274" s="16">
        <v>-73341.284507648554</v>
      </c>
    </row>
    <row r="275" spans="1:3">
      <c r="A275" s="15">
        <v>251</v>
      </c>
      <c r="B275" s="1">
        <v>642471.96509616508</v>
      </c>
      <c r="C275" s="16">
        <v>5481.8149038349511</v>
      </c>
    </row>
    <row r="276" spans="1:3">
      <c r="A276" s="15">
        <v>252</v>
      </c>
      <c r="B276" s="1">
        <v>768370.35018370138</v>
      </c>
      <c r="C276" s="16">
        <v>-38929.900183701422</v>
      </c>
    </row>
    <row r="277" spans="1:3">
      <c r="A277" s="15">
        <v>253</v>
      </c>
      <c r="B277" s="1">
        <v>734980.44048187463</v>
      </c>
      <c r="C277" s="16">
        <v>29968.559518125374</v>
      </c>
    </row>
    <row r="278" spans="1:3">
      <c r="A278" s="15">
        <v>254</v>
      </c>
      <c r="B278" s="1">
        <v>696180.23818153958</v>
      </c>
      <c r="C278" s="16">
        <v>102866.70181846037</v>
      </c>
    </row>
    <row r="279" spans="1:3">
      <c r="A279" s="15">
        <v>255</v>
      </c>
      <c r="B279" s="1">
        <v>721374.4559393836</v>
      </c>
      <c r="C279" s="16">
        <v>-1294.915939383558</v>
      </c>
    </row>
    <row r="280" spans="1:3">
      <c r="A280" s="15">
        <v>256</v>
      </c>
      <c r="B280" s="1">
        <v>638059.8044536981</v>
      </c>
      <c r="C280" s="16">
        <v>-25669.664453698089</v>
      </c>
    </row>
    <row r="281" spans="1:3">
      <c r="A281" s="15">
        <v>257</v>
      </c>
      <c r="B281" s="1">
        <v>699780.22138557036</v>
      </c>
      <c r="C281" s="16">
        <v>140327.89861442964</v>
      </c>
    </row>
    <row r="282" spans="1:3">
      <c r="A282" s="15">
        <v>258</v>
      </c>
      <c r="B282" s="1">
        <v>621833.18580882833</v>
      </c>
      <c r="C282" s="16">
        <v>76054.904191171634</v>
      </c>
    </row>
    <row r="283" spans="1:3">
      <c r="A283" s="15">
        <v>259</v>
      </c>
      <c r="B283" s="1">
        <v>654881.87365591538</v>
      </c>
      <c r="C283" s="16">
        <v>91233.716344084591</v>
      </c>
    </row>
    <row r="284" spans="1:3">
      <c r="A284" s="15">
        <v>260</v>
      </c>
      <c r="B284" s="1">
        <v>642548.39555467234</v>
      </c>
      <c r="C284" s="16">
        <v>133561.9244453276</v>
      </c>
    </row>
    <row r="285" spans="1:3">
      <c r="A285" s="15">
        <v>261</v>
      </c>
      <c r="B285" s="1">
        <v>591697.43757358496</v>
      </c>
      <c r="C285" s="16">
        <v>-62844.817573584965</v>
      </c>
    </row>
    <row r="286" spans="1:3">
      <c r="A286" s="15">
        <v>262</v>
      </c>
      <c r="B286" s="1">
        <v>652962.82814521098</v>
      </c>
      <c r="C286" s="16">
        <v>-47211.498145211022</v>
      </c>
    </row>
    <row r="287" spans="1:3">
      <c r="A287" s="15">
        <v>263</v>
      </c>
      <c r="B287" s="1">
        <v>670345.16732036392</v>
      </c>
      <c r="C287" s="16">
        <v>7295.4826796361012</v>
      </c>
    </row>
    <row r="288" spans="1:3">
      <c r="A288" s="15">
        <v>264</v>
      </c>
      <c r="B288" s="1">
        <v>685758.41596461402</v>
      </c>
      <c r="C288" s="16">
        <v>-49145.185964614036</v>
      </c>
    </row>
    <row r="289" spans="1:3">
      <c r="A289" s="15">
        <v>265</v>
      </c>
      <c r="B289" s="1">
        <v>686383.76575956086</v>
      </c>
      <c r="C289" s="16">
        <v>22601.424240439082</v>
      </c>
    </row>
    <row r="290" spans="1:3">
      <c r="A290" s="15">
        <v>266</v>
      </c>
      <c r="B290" s="1">
        <v>717204.32153289719</v>
      </c>
      <c r="C290" s="16">
        <v>50588.618467102759</v>
      </c>
    </row>
    <row r="291" spans="1:3">
      <c r="A291" s="15">
        <v>267</v>
      </c>
      <c r="B291" s="1">
        <v>681316.3986760542</v>
      </c>
      <c r="C291" s="16">
        <v>64264.111323945806</v>
      </c>
    </row>
    <row r="292" spans="1:3">
      <c r="A292" s="15">
        <v>268</v>
      </c>
      <c r="B292" s="1">
        <v>704997.06336132041</v>
      </c>
      <c r="C292" s="16">
        <v>57331.246638679644</v>
      </c>
    </row>
    <row r="293" spans="1:3">
      <c r="A293" s="15">
        <v>269</v>
      </c>
      <c r="B293" s="1">
        <v>664600.3610293977</v>
      </c>
      <c r="C293" s="16">
        <v>-3966.3710293977056</v>
      </c>
    </row>
    <row r="294" spans="1:3">
      <c r="A294" s="15">
        <v>270</v>
      </c>
      <c r="B294" s="1">
        <v>611706.07552148798</v>
      </c>
      <c r="C294" s="16">
        <v>127668.48447851208</v>
      </c>
    </row>
    <row r="295" spans="1:3">
      <c r="A295" s="15">
        <v>271</v>
      </c>
      <c r="B295" s="1">
        <v>692801.00675596669</v>
      </c>
      <c r="C295" s="16">
        <v>106955.45324403327</v>
      </c>
    </row>
    <row r="296" spans="1:3">
      <c r="A296" s="15">
        <v>272</v>
      </c>
      <c r="B296" s="1">
        <v>623269.58436728758</v>
      </c>
      <c r="C296" s="16">
        <v>-29926.584367287578</v>
      </c>
    </row>
    <row r="297" spans="1:3">
      <c r="A297" s="15">
        <v>273</v>
      </c>
      <c r="B297" s="1">
        <v>668389.40793101187</v>
      </c>
      <c r="C297" s="16">
        <v>-23349.437931011897</v>
      </c>
    </row>
    <row r="298" spans="1:3">
      <c r="A298" s="15">
        <v>274</v>
      </c>
      <c r="B298" s="1">
        <v>598178.16121050634</v>
      </c>
      <c r="C298" s="16">
        <v>-36580.831210506381</v>
      </c>
    </row>
    <row r="299" spans="1:3">
      <c r="A299" s="15">
        <v>275</v>
      </c>
      <c r="B299" s="1">
        <v>662248.86265691975</v>
      </c>
      <c r="C299" s="16">
        <v>-26411.122656919761</v>
      </c>
    </row>
    <row r="300" spans="1:3">
      <c r="A300" s="15">
        <v>276</v>
      </c>
      <c r="B300" s="1">
        <v>642334.92692383472</v>
      </c>
      <c r="C300" s="16">
        <v>44402.943076165277</v>
      </c>
    </row>
    <row r="301" spans="1:3">
      <c r="A301" s="15">
        <v>277</v>
      </c>
      <c r="B301" s="1">
        <v>692351.26174253307</v>
      </c>
      <c r="C301" s="16">
        <v>-19274.921742533101</v>
      </c>
    </row>
    <row r="302" spans="1:3">
      <c r="A302" s="15">
        <v>278</v>
      </c>
      <c r="B302" s="1">
        <v>639214.56667508371</v>
      </c>
      <c r="C302" s="16">
        <v>99333.85332491633</v>
      </c>
    </row>
    <row r="303" spans="1:3">
      <c r="A303" s="15">
        <v>279</v>
      </c>
      <c r="B303" s="1">
        <v>664294.74567413528</v>
      </c>
      <c r="C303" s="16">
        <v>92325.024325864739</v>
      </c>
    </row>
    <row r="304" spans="1:3">
      <c r="A304" s="15">
        <v>280</v>
      </c>
      <c r="B304" s="1">
        <v>710452.54554828012</v>
      </c>
      <c r="C304" s="16">
        <v>50669.874451719923</v>
      </c>
    </row>
    <row r="305" spans="1:3">
      <c r="A305" s="15">
        <v>281</v>
      </c>
      <c r="B305" s="1">
        <v>658610.86653329153</v>
      </c>
      <c r="C305" s="16">
        <v>-133711.29653329158</v>
      </c>
    </row>
    <row r="306" spans="1:3">
      <c r="A306" s="15">
        <v>282</v>
      </c>
      <c r="B306" s="1">
        <v>634825.36285464815</v>
      </c>
      <c r="C306" s="16">
        <v>-79267.59285464813</v>
      </c>
    </row>
    <row r="307" spans="1:3">
      <c r="A307" s="15">
        <v>283</v>
      </c>
      <c r="B307" s="1">
        <v>701551.19752374734</v>
      </c>
      <c r="C307" s="16">
        <v>12532.482476252713</v>
      </c>
    </row>
    <row r="308" spans="1:3">
      <c r="A308" s="15">
        <v>284</v>
      </c>
      <c r="B308" s="1">
        <v>600385.76417809899</v>
      </c>
      <c r="C308" s="16">
        <v>-102945.94417809899</v>
      </c>
    </row>
    <row r="309" spans="1:3">
      <c r="A309" s="15">
        <v>285</v>
      </c>
      <c r="B309" s="1">
        <v>688941.70516429527</v>
      </c>
      <c r="C309" s="16">
        <v>-52166.045164295239</v>
      </c>
    </row>
    <row r="310" spans="1:3">
      <c r="A310" s="15">
        <v>286</v>
      </c>
      <c r="B310" s="1">
        <v>719514.05893320113</v>
      </c>
      <c r="C310" s="16">
        <v>-86504.528933201102</v>
      </c>
    </row>
    <row r="311" spans="1:3">
      <c r="A311" s="15">
        <v>287</v>
      </c>
      <c r="B311" s="1">
        <v>678696.12660148123</v>
      </c>
      <c r="C311" s="16">
        <v>-68747.126601481228</v>
      </c>
    </row>
    <row r="312" spans="1:3">
      <c r="A312" s="15">
        <v>288</v>
      </c>
      <c r="B312" s="1">
        <v>647938.07386400958</v>
      </c>
      <c r="C312" s="16">
        <v>-99834.373864009627</v>
      </c>
    </row>
    <row r="313" spans="1:3">
      <c r="A313" s="15">
        <v>289</v>
      </c>
      <c r="B313" s="1">
        <v>709874.04641054035</v>
      </c>
      <c r="C313" s="16">
        <v>19550.37358945969</v>
      </c>
    </row>
    <row r="314" spans="1:3">
      <c r="A314" s="15">
        <v>290</v>
      </c>
      <c r="B314" s="1">
        <v>707524.80538790964</v>
      </c>
      <c r="C314" s="16">
        <v>-11263.31538790965</v>
      </c>
    </row>
    <row r="315" spans="1:3">
      <c r="A315" s="15">
        <v>291</v>
      </c>
      <c r="B315" s="1">
        <v>681603.69968349941</v>
      </c>
      <c r="C315" s="16">
        <v>131713.01031650056</v>
      </c>
    </row>
    <row r="316" spans="1:3">
      <c r="A316" s="15">
        <v>292</v>
      </c>
      <c r="B316" s="1">
        <v>675946.71707904304</v>
      </c>
      <c r="C316" s="16">
        <v>26122.202920957003</v>
      </c>
    </row>
    <row r="317" spans="1:3">
      <c r="A317" s="15">
        <v>293</v>
      </c>
      <c r="B317" s="1">
        <v>671507.42564690253</v>
      </c>
      <c r="C317" s="16">
        <v>-125283.72564690257</v>
      </c>
    </row>
    <row r="318" spans="1:3">
      <c r="A318" s="15">
        <v>294</v>
      </c>
      <c r="B318" s="1">
        <v>646179.44926273264</v>
      </c>
      <c r="C318" s="16">
        <v>-113058.18926273263</v>
      </c>
    </row>
    <row r="319" spans="1:3">
      <c r="A319" s="15">
        <v>295</v>
      </c>
      <c r="B319" s="1">
        <v>688180.27550591563</v>
      </c>
      <c r="C319" s="16">
        <v>-189209.95550591563</v>
      </c>
    </row>
    <row r="320" spans="1:3">
      <c r="A320" s="15">
        <v>296</v>
      </c>
      <c r="B320" s="1">
        <v>619124.04655583482</v>
      </c>
      <c r="C320" s="16">
        <v>-131385.78655583481</v>
      </c>
    </row>
    <row r="321" spans="1:3">
      <c r="A321" s="15">
        <v>297</v>
      </c>
      <c r="B321" s="1">
        <v>679180.79665028735</v>
      </c>
      <c r="C321" s="16">
        <v>-10721.426650287351</v>
      </c>
    </row>
    <row r="322" spans="1:3">
      <c r="A322" s="15">
        <v>298</v>
      </c>
      <c r="B322" s="1">
        <v>678921.09493908775</v>
      </c>
      <c r="C322" s="16">
        <v>84241.355060912203</v>
      </c>
    </row>
    <row r="323" spans="1:3">
      <c r="A323" s="15">
        <v>299</v>
      </c>
      <c r="B323" s="1">
        <v>659109.84732829907</v>
      </c>
      <c r="C323" s="16">
        <v>-60092.517328299116</v>
      </c>
    </row>
    <row r="324" spans="1:3">
      <c r="A324" s="15">
        <v>300</v>
      </c>
      <c r="B324" s="1">
        <v>612660.14656400145</v>
      </c>
      <c r="C324" s="16">
        <v>-211077.56656400143</v>
      </c>
    </row>
    <row r="325" spans="1:3">
      <c r="A325" s="15">
        <v>301</v>
      </c>
      <c r="B325" s="1">
        <v>647339.62060545024</v>
      </c>
      <c r="C325" s="16">
        <v>56473.369394549751</v>
      </c>
    </row>
    <row r="326" spans="1:3">
      <c r="A326" s="15">
        <v>302</v>
      </c>
      <c r="B326" s="1">
        <v>697042.4393444208</v>
      </c>
      <c r="C326" s="16">
        <v>27304.290655579185</v>
      </c>
    </row>
    <row r="327" spans="1:3">
      <c r="A327" s="15">
        <v>303</v>
      </c>
      <c r="B327" s="1">
        <v>673312.09166676202</v>
      </c>
      <c r="C327" s="16">
        <v>57577.918333237991</v>
      </c>
    </row>
    <row r="328" spans="1:3">
      <c r="A328" s="15">
        <v>304</v>
      </c>
      <c r="B328" s="1">
        <v>628917.89960016066</v>
      </c>
      <c r="C328" s="16">
        <v>151663.0503998393</v>
      </c>
    </row>
    <row r="329" spans="1:3">
      <c r="A329" s="15">
        <v>305</v>
      </c>
      <c r="B329" s="1">
        <v>677793.29314134945</v>
      </c>
      <c r="C329" s="16">
        <v>50164.18685865053</v>
      </c>
    </row>
    <row r="330" spans="1:3">
      <c r="A330" s="15">
        <v>306</v>
      </c>
      <c r="B330" s="1">
        <v>659049.23961447587</v>
      </c>
      <c r="C330" s="16">
        <v>-120673.23961447587</v>
      </c>
    </row>
    <row r="331" spans="1:3">
      <c r="A331" s="15">
        <v>307</v>
      </c>
      <c r="B331" s="1">
        <v>608452.7019977757</v>
      </c>
      <c r="C331" s="16">
        <v>56889.78800222429</v>
      </c>
    </row>
    <row r="332" spans="1:3">
      <c r="A332" s="15">
        <v>308</v>
      </c>
      <c r="B332" s="1">
        <v>690008.60110766452</v>
      </c>
      <c r="C332" s="16">
        <v>-38844.421107664471</v>
      </c>
    </row>
    <row r="333" spans="1:3">
      <c r="A333" s="15">
        <v>309</v>
      </c>
      <c r="B333" s="1">
        <v>663988.49144627457</v>
      </c>
      <c r="C333" s="16">
        <v>-35450.191446274519</v>
      </c>
    </row>
    <row r="334" spans="1:3">
      <c r="A334" s="15">
        <v>310</v>
      </c>
      <c r="B334" s="1">
        <v>611253.34910259559</v>
      </c>
      <c r="C334" s="16">
        <v>-74728.509102595621</v>
      </c>
    </row>
    <row r="335" spans="1:3">
      <c r="A335" s="15">
        <v>311</v>
      </c>
      <c r="B335" s="1">
        <v>676462.13819557964</v>
      </c>
      <c r="C335" s="16">
        <v>-54784.838195579592</v>
      </c>
    </row>
    <row r="336" spans="1:3">
      <c r="A336" s="15">
        <v>312</v>
      </c>
      <c r="B336" s="1">
        <v>743977.42773436964</v>
      </c>
      <c r="C336" s="16">
        <v>27151.642265630304</v>
      </c>
    </row>
    <row r="337" spans="1:3">
      <c r="A337" s="15">
        <v>313</v>
      </c>
      <c r="B337" s="1">
        <v>728944.62772239337</v>
      </c>
      <c r="C337" s="16">
        <v>-26892.1577223934</v>
      </c>
    </row>
    <row r="338" spans="1:3">
      <c r="A338" s="15">
        <v>314</v>
      </c>
      <c r="B338" s="1">
        <v>660373.30307440483</v>
      </c>
      <c r="C338" s="16">
        <v>27995.156925595133</v>
      </c>
    </row>
    <row r="339" spans="1:3">
      <c r="A339" s="15">
        <v>315</v>
      </c>
      <c r="B339" s="1">
        <v>693891.05118314689</v>
      </c>
      <c r="C339" s="16">
        <v>18484.718816853128</v>
      </c>
    </row>
    <row r="340" spans="1:3">
      <c r="A340" s="15">
        <v>316</v>
      </c>
      <c r="B340" s="1">
        <v>702300.99970083835</v>
      </c>
      <c r="C340" s="16">
        <v>142409.67029916169</v>
      </c>
    </row>
    <row r="341" spans="1:3">
      <c r="A341" s="15">
        <v>317</v>
      </c>
      <c r="B341" s="1">
        <v>723933.31106150895</v>
      </c>
      <c r="C341" s="16">
        <v>-103669.111061509</v>
      </c>
    </row>
    <row r="342" spans="1:3">
      <c r="A342" s="15">
        <v>318</v>
      </c>
      <c r="B342" s="1">
        <v>612074.68371494045</v>
      </c>
      <c r="C342" s="16">
        <v>-75229.263714940404</v>
      </c>
    </row>
    <row r="343" spans="1:3">
      <c r="A343" s="15">
        <v>319</v>
      </c>
      <c r="B343" s="1">
        <v>735195.05908338912</v>
      </c>
      <c r="C343" s="16">
        <v>-8418.8390833891463</v>
      </c>
    </row>
    <row r="344" spans="1:3">
      <c r="A344" s="17">
        <v>320</v>
      </c>
      <c r="B344" s="18">
        <v>647138.24796247343</v>
      </c>
      <c r="C344" s="19">
        <v>-87477.407962473459</v>
      </c>
    </row>
  </sheetData>
  <mergeCells count="2">
    <mergeCell ref="A22:C23"/>
    <mergeCell ref="A2:I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75BC-0544-BF45-A5F3-1F520415399D}">
  <dimension ref="A1:I344"/>
  <sheetViews>
    <sheetView topLeftCell="A3" workbookViewId="0">
      <selection activeCell="B6" sqref="B6"/>
    </sheetView>
  </sheetViews>
  <sheetFormatPr defaultColWidth="11.19921875" defaultRowHeight="13.8"/>
  <cols>
    <col min="1" max="1" width="18.296875" bestFit="1" customWidth="1"/>
    <col min="2" max="2" width="22" bestFit="1" customWidth="1"/>
    <col min="3" max="3" width="13.796875" bestFit="1" customWidth="1"/>
    <col min="4" max="4" width="12.296875" bestFit="1" customWidth="1"/>
    <col min="5" max="5" width="41.796875" bestFit="1" customWidth="1"/>
    <col min="6" max="6" width="13.19921875" bestFit="1" customWidth="1"/>
    <col min="7" max="7" width="12.19921875" bestFit="1" customWidth="1"/>
    <col min="8" max="9" width="12.5" bestFit="1" customWidth="1"/>
  </cols>
  <sheetData>
    <row r="1" spans="1:9" ht="13.95" customHeight="1">
      <c r="A1" s="34" t="s">
        <v>157</v>
      </c>
      <c r="B1" s="34"/>
      <c r="C1" s="34"/>
      <c r="D1" s="34"/>
      <c r="E1" s="34"/>
      <c r="F1" s="34"/>
      <c r="G1" s="34"/>
      <c r="H1" s="34"/>
      <c r="I1" s="34"/>
    </row>
    <row r="2" spans="1:9" ht="13.95" customHeight="1">
      <c r="A2" s="34"/>
      <c r="B2" s="34"/>
      <c r="C2" s="34"/>
      <c r="D2" s="34"/>
      <c r="E2" s="34"/>
      <c r="F2" s="34"/>
      <c r="G2" s="34"/>
      <c r="H2" s="34"/>
      <c r="I2" s="34"/>
    </row>
    <row r="3" spans="1:9" ht="28.2">
      <c r="A3" s="27" t="s">
        <v>117</v>
      </c>
      <c r="B3" s="27"/>
      <c r="C3" s="1"/>
      <c r="D3" s="23" t="s">
        <v>153</v>
      </c>
      <c r="E3" s="24" t="s">
        <v>154</v>
      </c>
      <c r="F3" s="1"/>
      <c r="G3" s="1"/>
      <c r="H3" s="1"/>
      <c r="I3" s="1"/>
    </row>
    <row r="4" spans="1:9">
      <c r="A4" s="1" t="s">
        <v>118</v>
      </c>
      <c r="B4" s="1">
        <v>0.85807070804410468</v>
      </c>
    </row>
    <row r="5" spans="1:9">
      <c r="A5" s="1" t="s">
        <v>119</v>
      </c>
      <c r="B5" s="1">
        <v>0.73628534000331114</v>
      </c>
    </row>
    <row r="6" spans="1:9">
      <c r="A6" s="1" t="s">
        <v>120</v>
      </c>
      <c r="B6" s="1">
        <v>0.73545604861967373</v>
      </c>
    </row>
    <row r="7" spans="1:9">
      <c r="A7" s="1" t="s">
        <v>121</v>
      </c>
      <c r="B7" s="1">
        <v>53373.736380790499</v>
      </c>
    </row>
    <row r="8" spans="1:9" ht="14.4" thickBot="1">
      <c r="A8" s="5" t="s">
        <v>122</v>
      </c>
      <c r="B8" s="5">
        <v>320</v>
      </c>
    </row>
    <row r="10" spans="1:9" ht="14.4" thickBot="1">
      <c r="A10" t="s">
        <v>123</v>
      </c>
    </row>
    <row r="11" spans="1:9" ht="14.4">
      <c r="A11" s="6"/>
      <c r="B11" s="6" t="s">
        <v>128</v>
      </c>
      <c r="C11" s="6" t="s">
        <v>129</v>
      </c>
      <c r="D11" s="6" t="s">
        <v>130</v>
      </c>
      <c r="E11" s="6" t="s">
        <v>131</v>
      </c>
      <c r="F11" s="6" t="s">
        <v>132</v>
      </c>
    </row>
    <row r="12" spans="1:9">
      <c r="A12" s="1" t="s">
        <v>124</v>
      </c>
      <c r="B12" s="1">
        <v>1</v>
      </c>
      <c r="C12" s="1">
        <v>2529264292982.4736</v>
      </c>
      <c r="D12" s="1">
        <v>2529264292982.4736</v>
      </c>
      <c r="E12" s="1">
        <v>887.84877611276033</v>
      </c>
      <c r="F12" s="1">
        <v>4.7503615090053331E-94</v>
      </c>
    </row>
    <row r="13" spans="1:9">
      <c r="A13" s="1" t="s">
        <v>125</v>
      </c>
      <c r="B13" s="1">
        <v>318</v>
      </c>
      <c r="C13" s="1">
        <v>905904323808.26587</v>
      </c>
      <c r="D13" s="1">
        <v>2848755735.246119</v>
      </c>
      <c r="E13" s="1"/>
      <c r="F13" s="1"/>
    </row>
    <row r="14" spans="1:9" ht="14.4" thickBot="1">
      <c r="A14" s="5" t="s">
        <v>126</v>
      </c>
      <c r="B14" s="5">
        <v>319</v>
      </c>
      <c r="C14" s="5">
        <v>3435168616790.7393</v>
      </c>
      <c r="D14" s="5"/>
      <c r="E14" s="5"/>
      <c r="F14" s="5"/>
    </row>
    <row r="15" spans="1:9" ht="14.4" thickBot="1"/>
    <row r="16" spans="1:9" ht="14.4">
      <c r="A16" s="6"/>
      <c r="B16" s="6" t="s">
        <v>133</v>
      </c>
      <c r="C16" s="6" t="s">
        <v>121</v>
      </c>
      <c r="D16" s="6" t="s">
        <v>134</v>
      </c>
      <c r="E16" s="6" t="s">
        <v>135</v>
      </c>
      <c r="F16" s="6" t="s">
        <v>136</v>
      </c>
      <c r="G16" s="6" t="s">
        <v>137</v>
      </c>
      <c r="H16" s="6" t="s">
        <v>138</v>
      </c>
      <c r="I16" s="6" t="s">
        <v>139</v>
      </c>
    </row>
    <row r="17" spans="1:9">
      <c r="A17" s="1" t="s">
        <v>127</v>
      </c>
      <c r="B17" s="1">
        <v>446410.58293395344</v>
      </c>
      <c r="C17" s="1">
        <v>8407.7382630059928</v>
      </c>
      <c r="D17" s="1">
        <v>53.095204556754318</v>
      </c>
      <c r="E17" s="1">
        <v>4.0862695711507226E-160</v>
      </c>
      <c r="F17" s="1">
        <v>429868.76191129786</v>
      </c>
      <c r="G17" s="1">
        <v>462952.40395660902</v>
      </c>
      <c r="H17" s="1">
        <v>429868.76191129786</v>
      </c>
      <c r="I17" s="1">
        <v>462952.40395660902</v>
      </c>
    </row>
    <row r="18" spans="1:9" ht="14.4" thickBot="1">
      <c r="A18" s="5" t="s">
        <v>5</v>
      </c>
      <c r="B18" s="5">
        <v>35.678031072640458</v>
      </c>
      <c r="C18" s="5">
        <v>1.1973782890340821</v>
      </c>
      <c r="D18" s="5">
        <v>29.796791372776362</v>
      </c>
      <c r="E18" s="5">
        <v>4.7503615090054677E-94</v>
      </c>
      <c r="F18" s="5">
        <v>33.322246825554025</v>
      </c>
      <c r="G18" s="5">
        <v>38.033815319726891</v>
      </c>
      <c r="H18" s="5">
        <v>33.322246825554025</v>
      </c>
      <c r="I18" s="5">
        <v>38.033815319726891</v>
      </c>
    </row>
    <row r="22" spans="1:9">
      <c r="A22" t="s">
        <v>140</v>
      </c>
    </row>
    <row r="23" spans="1:9" ht="14.4" thickBot="1"/>
    <row r="24" spans="1:9" ht="14.4">
      <c r="A24" s="6" t="s">
        <v>141</v>
      </c>
      <c r="B24" s="6" t="s">
        <v>142</v>
      </c>
      <c r="C24" s="6" t="s">
        <v>143</v>
      </c>
    </row>
    <row r="25" spans="1:9">
      <c r="A25" s="1">
        <v>1</v>
      </c>
      <c r="B25" s="1">
        <v>742609.59689901455</v>
      </c>
      <c r="C25" s="1">
        <v>-83776.976899014553</v>
      </c>
    </row>
    <row r="26" spans="1:9">
      <c r="A26" s="1">
        <v>2</v>
      </c>
      <c r="B26" s="1">
        <v>749210.03264745302</v>
      </c>
      <c r="C26" s="1">
        <v>-114774.03264745302</v>
      </c>
    </row>
    <row r="27" spans="1:9">
      <c r="A27" s="1">
        <v>3</v>
      </c>
      <c r="B27" s="1">
        <v>771544.48009892588</v>
      </c>
      <c r="C27" s="1">
        <v>-92822.420098925824</v>
      </c>
    </row>
    <row r="28" spans="1:9">
      <c r="A28" s="1">
        <v>4</v>
      </c>
      <c r="B28" s="1">
        <v>782890.09398002562</v>
      </c>
      <c r="C28" s="1">
        <v>-123969.79398002557</v>
      </c>
    </row>
    <row r="29" spans="1:9">
      <c r="A29" s="1">
        <v>5</v>
      </c>
      <c r="B29" s="1">
        <v>786957.38952230662</v>
      </c>
      <c r="C29" s="1">
        <v>-45615.949522306677</v>
      </c>
    </row>
    <row r="30" spans="1:9">
      <c r="A30" s="1">
        <v>6</v>
      </c>
      <c r="B30" s="1">
        <v>795769.86319724878</v>
      </c>
      <c r="C30" s="1">
        <v>-33934.523197248811</v>
      </c>
    </row>
    <row r="31" spans="1:9">
      <c r="A31" s="1">
        <v>7</v>
      </c>
      <c r="B31" s="1">
        <v>825168.56080110453</v>
      </c>
      <c r="C31" s="1">
        <v>-18553.020801104489</v>
      </c>
    </row>
    <row r="32" spans="1:9">
      <c r="A32" s="1">
        <v>8</v>
      </c>
      <c r="B32" s="1">
        <v>752064.27513326425</v>
      </c>
      <c r="C32" s="1">
        <v>98099.984866735758</v>
      </c>
    </row>
    <row r="33" spans="1:3">
      <c r="A33" s="1">
        <v>9</v>
      </c>
      <c r="B33" s="1">
        <v>838119.68608047301</v>
      </c>
      <c r="C33" s="1">
        <v>92462.013919526944</v>
      </c>
    </row>
    <row r="34" spans="1:3">
      <c r="A34" s="1">
        <v>10</v>
      </c>
      <c r="B34" s="1">
        <v>783889.07885005954</v>
      </c>
      <c r="C34" s="1">
        <v>-4878.1388500595931</v>
      </c>
    </row>
    <row r="35" spans="1:3">
      <c r="A35" s="1">
        <v>11</v>
      </c>
      <c r="B35" s="1">
        <v>773649.48393221176</v>
      </c>
      <c r="C35" s="1">
        <v>-50588.723932211753</v>
      </c>
    </row>
    <row r="36" spans="1:3">
      <c r="A36" s="1">
        <v>12</v>
      </c>
      <c r="B36" s="1">
        <v>847074.87187970581</v>
      </c>
      <c r="C36" s="1">
        <v>63717.068120294134</v>
      </c>
    </row>
    <row r="37" spans="1:3">
      <c r="A37" s="1">
        <v>13</v>
      </c>
      <c r="B37" s="1">
        <v>902197.42988693528</v>
      </c>
      <c r="C37" s="1">
        <v>19971.170113064698</v>
      </c>
    </row>
    <row r="38" spans="1:3">
      <c r="A38" s="1">
        <v>14</v>
      </c>
      <c r="B38" s="1">
        <v>805117.50733828056</v>
      </c>
      <c r="C38" s="1">
        <v>-78511.227338280529</v>
      </c>
    </row>
    <row r="39" spans="1:3">
      <c r="A39" s="1">
        <v>15</v>
      </c>
      <c r="B39" s="1">
        <v>763766.66932509036</v>
      </c>
      <c r="C39" s="1">
        <v>-17265.579325090395</v>
      </c>
    </row>
    <row r="40" spans="1:3">
      <c r="A40" s="1">
        <v>16</v>
      </c>
      <c r="B40" s="1">
        <v>836728.24286863999</v>
      </c>
      <c r="C40" s="1">
        <v>-2711.2228686399758</v>
      </c>
    </row>
    <row r="41" spans="1:3">
      <c r="A41" s="1">
        <v>17</v>
      </c>
      <c r="B41" s="1">
        <v>698190.44821357715</v>
      </c>
      <c r="C41" s="1">
        <v>-32037.928213577135</v>
      </c>
    </row>
    <row r="42" spans="1:3">
      <c r="A42" s="1">
        <v>18</v>
      </c>
      <c r="B42" s="1">
        <v>598506.02939661976</v>
      </c>
      <c r="C42" s="1">
        <v>-25350.83939661982</v>
      </c>
    </row>
    <row r="43" spans="1:3">
      <c r="A43" s="1">
        <v>19</v>
      </c>
      <c r="B43" s="1">
        <v>643995.51901423628</v>
      </c>
      <c r="C43" s="1">
        <v>22577.680985763669</v>
      </c>
    </row>
    <row r="44" spans="1:3">
      <c r="A44" s="1">
        <v>20</v>
      </c>
      <c r="B44" s="1">
        <v>619984.20410234923</v>
      </c>
      <c r="C44" s="1">
        <v>-28364.254102349281</v>
      </c>
    </row>
    <row r="45" spans="1:3">
      <c r="A45" s="1">
        <v>21</v>
      </c>
      <c r="B45" s="1">
        <v>547093.98662094481</v>
      </c>
      <c r="C45" s="1">
        <v>-131372.1666209448</v>
      </c>
    </row>
    <row r="46" spans="1:3">
      <c r="A46" s="1">
        <v>22</v>
      </c>
      <c r="B46" s="1">
        <v>522083.68683902384</v>
      </c>
      <c r="C46" s="1">
        <v>-30178.556839023833</v>
      </c>
    </row>
    <row r="47" spans="1:3">
      <c r="A47" s="1">
        <v>23</v>
      </c>
      <c r="B47" s="1">
        <v>566431.47946231591</v>
      </c>
      <c r="C47" s="1">
        <v>-10502.079462315887</v>
      </c>
    </row>
    <row r="48" spans="1:3">
      <c r="A48" s="1">
        <v>24</v>
      </c>
      <c r="B48" s="1">
        <v>539637.27812676295</v>
      </c>
      <c r="C48" s="1">
        <v>26173.711873237044</v>
      </c>
    </row>
    <row r="49" spans="1:3">
      <c r="A49" s="1">
        <v>25</v>
      </c>
      <c r="B49" s="1">
        <v>810968.70443419367</v>
      </c>
      <c r="C49" s="1">
        <v>802.43556580634322</v>
      </c>
    </row>
    <row r="50" spans="1:3">
      <c r="A50" s="1">
        <v>26</v>
      </c>
      <c r="B50" s="1">
        <v>764908.36631941481</v>
      </c>
      <c r="C50" s="1">
        <v>35543.573680585134</v>
      </c>
    </row>
    <row r="51" spans="1:3">
      <c r="A51" s="1">
        <v>27</v>
      </c>
      <c r="B51" s="1">
        <v>778751.44237559929</v>
      </c>
      <c r="C51" s="1">
        <v>4921.3776244006585</v>
      </c>
    </row>
    <row r="52" spans="1:3">
      <c r="A52" s="1">
        <v>28</v>
      </c>
      <c r="B52" s="1">
        <v>704113.00137163547</v>
      </c>
      <c r="C52" s="1">
        <v>-2471.0313716355013</v>
      </c>
    </row>
    <row r="53" spans="1:3">
      <c r="A53" s="1">
        <v>29</v>
      </c>
      <c r="B53" s="1">
        <v>588694.57085164357</v>
      </c>
      <c r="C53" s="1">
        <v>-76850.160851643595</v>
      </c>
    </row>
    <row r="54" spans="1:3">
      <c r="A54" s="1">
        <v>30</v>
      </c>
      <c r="B54" s="1">
        <v>531681.07719756418</v>
      </c>
      <c r="C54" s="1">
        <v>5702.7128024358535</v>
      </c>
    </row>
    <row r="55" spans="1:3">
      <c r="A55" s="1">
        <v>31</v>
      </c>
      <c r="B55" s="1">
        <v>534570.99771444802</v>
      </c>
      <c r="C55" s="1">
        <v>-34397.977714448003</v>
      </c>
    </row>
    <row r="56" spans="1:3">
      <c r="A56" s="1">
        <v>32</v>
      </c>
      <c r="B56" s="1">
        <v>481053.9511054873</v>
      </c>
      <c r="C56" s="1">
        <v>-53136.571105487295</v>
      </c>
    </row>
    <row r="57" spans="1:3">
      <c r="A57" s="1">
        <v>33</v>
      </c>
      <c r="B57" s="1">
        <v>782818.73791788029</v>
      </c>
      <c r="C57" s="1">
        <v>-140953.70791788027</v>
      </c>
    </row>
    <row r="58" spans="1:3">
      <c r="A58" s="1">
        <v>34</v>
      </c>
      <c r="B58" s="1">
        <v>863665.1563284836</v>
      </c>
      <c r="C58" s="1">
        <v>-64187.396328483592</v>
      </c>
    </row>
    <row r="59" spans="1:3">
      <c r="A59" s="1">
        <v>35</v>
      </c>
      <c r="B59" s="1">
        <v>783532.29853933316</v>
      </c>
      <c r="C59" s="1">
        <v>15419.87146066688</v>
      </c>
    </row>
    <row r="60" spans="1:3">
      <c r="A60" s="1">
        <v>36</v>
      </c>
      <c r="B60" s="1">
        <v>819353.04173626413</v>
      </c>
      <c r="C60" s="1">
        <v>-18373.261736264103</v>
      </c>
    </row>
    <row r="61" spans="1:3">
      <c r="A61" s="1">
        <v>37</v>
      </c>
      <c r="B61" s="1">
        <v>761733.0215539498</v>
      </c>
      <c r="C61" s="1">
        <v>58860.908446050249</v>
      </c>
    </row>
    <row r="62" spans="1:3">
      <c r="A62" s="1">
        <v>38</v>
      </c>
      <c r="B62" s="1">
        <v>737400.60436240898</v>
      </c>
      <c r="C62" s="1">
        <v>-19070.074362408952</v>
      </c>
    </row>
    <row r="63" spans="1:3">
      <c r="A63" s="1">
        <v>39</v>
      </c>
      <c r="B63" s="1">
        <v>716207.85390526056</v>
      </c>
      <c r="C63" s="1">
        <v>20425.54609473946</v>
      </c>
    </row>
    <row r="64" spans="1:3">
      <c r="A64" s="1">
        <v>40</v>
      </c>
      <c r="B64" s="1">
        <v>788848.32516915654</v>
      </c>
      <c r="C64" s="1">
        <v>39775.524830843438</v>
      </c>
    </row>
    <row r="65" spans="1:3">
      <c r="A65" s="1">
        <v>41</v>
      </c>
      <c r="B65" s="1">
        <v>576992.17665981746</v>
      </c>
      <c r="C65" s="1">
        <v>15203.673340182519</v>
      </c>
    </row>
    <row r="66" spans="1:3">
      <c r="A66" s="1">
        <v>42</v>
      </c>
      <c r="B66" s="1">
        <v>561543.58920536423</v>
      </c>
      <c r="C66" s="1">
        <v>-28899.129205364268</v>
      </c>
    </row>
    <row r="67" spans="1:3">
      <c r="A67" s="1">
        <v>43</v>
      </c>
      <c r="B67" s="1">
        <v>566288.76733802538</v>
      </c>
      <c r="C67" s="1">
        <v>91140.412661974668</v>
      </c>
    </row>
    <row r="68" spans="1:3">
      <c r="A68" s="1">
        <v>44</v>
      </c>
      <c r="B68" s="1">
        <v>576349.97210051003</v>
      </c>
      <c r="C68" s="1">
        <v>28828.027899489971</v>
      </c>
    </row>
    <row r="69" spans="1:3">
      <c r="A69" s="1">
        <v>45</v>
      </c>
      <c r="B69" s="1">
        <v>629974.05280268856</v>
      </c>
      <c r="C69" s="1">
        <v>-34506.452802688582</v>
      </c>
    </row>
    <row r="70" spans="1:3">
      <c r="A70" s="1">
        <v>46</v>
      </c>
      <c r="B70" s="1">
        <v>605534.60151792993</v>
      </c>
      <c r="C70" s="1">
        <v>-5931.2015179299051</v>
      </c>
    </row>
    <row r="71" spans="1:3">
      <c r="A71" s="1">
        <v>47</v>
      </c>
      <c r="B71" s="1">
        <v>582129.81313427771</v>
      </c>
      <c r="C71" s="1">
        <v>32670.276865722262</v>
      </c>
    </row>
    <row r="72" spans="1:3">
      <c r="A72" s="1">
        <v>48</v>
      </c>
      <c r="B72" s="1">
        <v>591762.88152389065</v>
      </c>
      <c r="C72" s="1">
        <v>-6397.1515238906723</v>
      </c>
    </row>
    <row r="73" spans="1:3">
      <c r="A73" s="1">
        <v>49</v>
      </c>
      <c r="B73" s="1">
        <v>628511.25352871034</v>
      </c>
      <c r="C73" s="1">
        <v>-5699.5135287103476</v>
      </c>
    </row>
    <row r="74" spans="1:3">
      <c r="A74" s="1">
        <v>50</v>
      </c>
      <c r="B74" s="1">
        <v>644744.75766676175</v>
      </c>
      <c r="C74" s="1">
        <v>-41447.187666761805</v>
      </c>
    </row>
    <row r="75" spans="1:3">
      <c r="A75" s="1">
        <v>51</v>
      </c>
      <c r="B75" s="1">
        <v>630152.4429580518</v>
      </c>
      <c r="C75" s="1">
        <v>-4479.5829580518184</v>
      </c>
    </row>
    <row r="76" spans="1:3">
      <c r="A76" s="1">
        <v>52</v>
      </c>
      <c r="B76" s="1">
        <v>702899.9483151657</v>
      </c>
      <c r="C76" s="1">
        <v>70915.19168483431</v>
      </c>
    </row>
    <row r="77" spans="1:3">
      <c r="A77" s="1">
        <v>53</v>
      </c>
      <c r="B77" s="1">
        <v>563398.84682114155</v>
      </c>
      <c r="C77" s="1">
        <v>-99864.596821141546</v>
      </c>
    </row>
    <row r="78" spans="1:3">
      <c r="A78" s="1">
        <v>54</v>
      </c>
      <c r="B78" s="1">
        <v>656447.15185858787</v>
      </c>
      <c r="C78" s="1">
        <v>90230.598141412134</v>
      </c>
    </row>
    <row r="79" spans="1:3">
      <c r="A79" s="1">
        <v>55</v>
      </c>
      <c r="B79" s="1">
        <v>643210.60233063821</v>
      </c>
      <c r="C79" s="1">
        <v>77641.897669361788</v>
      </c>
    </row>
    <row r="80" spans="1:3">
      <c r="A80" s="1">
        <v>56</v>
      </c>
      <c r="B80" s="1">
        <v>548556.78589492303</v>
      </c>
      <c r="C80" s="1">
        <v>-61091.875894923054</v>
      </c>
    </row>
    <row r="81" spans="1:3">
      <c r="A81" s="1">
        <v>57</v>
      </c>
      <c r="B81" s="1">
        <v>531252.94082469249</v>
      </c>
      <c r="C81" s="1">
        <v>-13203.680824692477</v>
      </c>
    </row>
    <row r="82" spans="1:3">
      <c r="A82" s="1">
        <v>58</v>
      </c>
      <c r="B82" s="1">
        <v>536140.83108164417</v>
      </c>
      <c r="C82" s="1">
        <v>-35842.351081644185</v>
      </c>
    </row>
    <row r="83" spans="1:3">
      <c r="A83" s="1">
        <v>59</v>
      </c>
      <c r="B83" s="1">
        <v>589907.62390811334</v>
      </c>
      <c r="C83" s="1">
        <v>27383.526091886684</v>
      </c>
    </row>
    <row r="84" spans="1:3">
      <c r="A84" s="1">
        <v>60</v>
      </c>
      <c r="B84" s="1">
        <v>602573.32493890077</v>
      </c>
      <c r="C84" s="1">
        <v>-48816.894938900718</v>
      </c>
    </row>
    <row r="85" spans="1:3">
      <c r="A85" s="1">
        <v>61</v>
      </c>
      <c r="B85" s="1">
        <v>635718.21580538375</v>
      </c>
      <c r="C85" s="1">
        <v>113841.49419461621</v>
      </c>
    </row>
    <row r="86" spans="1:3">
      <c r="A86" s="1">
        <v>62</v>
      </c>
      <c r="B86" s="1">
        <v>586553.8889872852</v>
      </c>
      <c r="C86" s="1">
        <v>29412.59101271478</v>
      </c>
    </row>
    <row r="87" spans="1:3">
      <c r="A87" s="1">
        <v>63</v>
      </c>
      <c r="B87" s="1">
        <v>583592.61240825604</v>
      </c>
      <c r="C87" s="1">
        <v>-11581.412408256088</v>
      </c>
    </row>
    <row r="88" spans="1:3">
      <c r="A88" s="1">
        <v>64</v>
      </c>
      <c r="B88" s="1">
        <v>682599.14863483328</v>
      </c>
      <c r="C88" s="1">
        <v>79261.04136516666</v>
      </c>
    </row>
    <row r="89" spans="1:3">
      <c r="A89" s="1">
        <v>65</v>
      </c>
      <c r="B89" s="1">
        <v>773756.51802542969</v>
      </c>
      <c r="C89" s="1">
        <v>10746.161974570365</v>
      </c>
    </row>
    <row r="90" spans="1:3">
      <c r="A90" s="1">
        <v>66</v>
      </c>
      <c r="B90" s="1">
        <v>729694.14965071867</v>
      </c>
      <c r="C90" s="1">
        <v>-12552.599650718621</v>
      </c>
    </row>
    <row r="91" spans="1:3">
      <c r="A91" s="1">
        <v>67</v>
      </c>
      <c r="B91" s="1">
        <v>789918.66610133578</v>
      </c>
      <c r="C91" s="1">
        <v>-104539.58610133582</v>
      </c>
    </row>
    <row r="92" spans="1:3">
      <c r="A92" s="1">
        <v>68</v>
      </c>
      <c r="B92" s="1">
        <v>742395.5287125787</v>
      </c>
      <c r="C92" s="1">
        <v>-1898.8787125786766</v>
      </c>
    </row>
    <row r="93" spans="1:3">
      <c r="A93" s="1">
        <v>69</v>
      </c>
      <c r="B93" s="1">
        <v>574673.10464009584</v>
      </c>
      <c r="C93" s="1">
        <v>87254.03535990417</v>
      </c>
    </row>
    <row r="94" spans="1:3">
      <c r="A94" s="1">
        <v>70</v>
      </c>
      <c r="B94" s="1">
        <v>547522.12299381651</v>
      </c>
      <c r="C94" s="1">
        <v>-68471.622993816505</v>
      </c>
    </row>
    <row r="95" spans="1:3">
      <c r="A95" s="1">
        <v>71</v>
      </c>
      <c r="B95" s="1">
        <v>560330.53614889446</v>
      </c>
      <c r="C95" s="1">
        <v>44693.333851105534</v>
      </c>
    </row>
    <row r="96" spans="1:3">
      <c r="A96" s="1">
        <v>72</v>
      </c>
      <c r="B96" s="1">
        <v>642104.58336738637</v>
      </c>
      <c r="C96" s="1">
        <v>32669.5066326136</v>
      </c>
    </row>
    <row r="97" spans="1:3">
      <c r="A97" s="1">
        <v>73</v>
      </c>
      <c r="B97" s="1">
        <v>657553.17082183971</v>
      </c>
      <c r="C97" s="1">
        <v>-41483.760821839678</v>
      </c>
    </row>
    <row r="98" spans="1:3">
      <c r="A98" s="1">
        <v>74</v>
      </c>
      <c r="B98" s="1">
        <v>689770.43288043397</v>
      </c>
      <c r="C98" s="1">
        <v>-58940.492880434031</v>
      </c>
    </row>
    <row r="99" spans="1:3">
      <c r="A99" s="1">
        <v>75</v>
      </c>
      <c r="B99" s="1">
        <v>689235.26241434435</v>
      </c>
      <c r="C99" s="1">
        <v>98852.417585655698</v>
      </c>
    </row>
    <row r="100" spans="1:3">
      <c r="A100" s="1">
        <v>76</v>
      </c>
      <c r="B100" s="1">
        <v>740825.69534538256</v>
      </c>
      <c r="C100" s="1">
        <v>-59985.335345382569</v>
      </c>
    </row>
    <row r="101" spans="1:3">
      <c r="A101" s="1">
        <v>77</v>
      </c>
      <c r="B101" s="1">
        <v>684097.62593988422</v>
      </c>
      <c r="C101" s="1">
        <v>-40440.155939884251</v>
      </c>
    </row>
    <row r="102" spans="1:3">
      <c r="A102" s="1">
        <v>78</v>
      </c>
      <c r="B102" s="1">
        <v>659123.00418903586</v>
      </c>
      <c r="C102" s="1">
        <v>31989.595810964121</v>
      </c>
    </row>
    <row r="103" spans="1:3">
      <c r="A103" s="1">
        <v>79</v>
      </c>
      <c r="B103" s="1">
        <v>712925.47504657763</v>
      </c>
      <c r="C103" s="1">
        <v>63996.694953422411</v>
      </c>
    </row>
    <row r="104" spans="1:3">
      <c r="A104" s="1">
        <v>80</v>
      </c>
      <c r="B104" s="1">
        <v>659551.14056190755</v>
      </c>
      <c r="C104" s="1">
        <v>-22989.800561907585</v>
      </c>
    </row>
    <row r="105" spans="1:3">
      <c r="A105" s="1">
        <v>81</v>
      </c>
      <c r="B105" s="1">
        <v>639428.73103693826</v>
      </c>
      <c r="C105" s="1">
        <v>-18059.151036938303</v>
      </c>
    </row>
    <row r="106" spans="1:3">
      <c r="A106" s="1">
        <v>82</v>
      </c>
      <c r="B106" s="1">
        <v>605213.49923827616</v>
      </c>
      <c r="C106" s="1">
        <v>76994.510761723854</v>
      </c>
    </row>
    <row r="107" spans="1:3">
      <c r="A107" s="1">
        <v>83</v>
      </c>
      <c r="B107" s="1">
        <v>612099.35923529568</v>
      </c>
      <c r="C107" s="1">
        <v>115142.50076470431</v>
      </c>
    </row>
    <row r="108" spans="1:3">
      <c r="A108" s="1">
        <v>84</v>
      </c>
      <c r="B108" s="1">
        <v>573388.69552148087</v>
      </c>
      <c r="C108" s="1">
        <v>-4287.9155214808416</v>
      </c>
    </row>
    <row r="109" spans="1:3">
      <c r="A109" s="1">
        <v>85</v>
      </c>
      <c r="B109" s="1">
        <v>556691.37697948504</v>
      </c>
      <c r="C109" s="1">
        <v>17744.913020515</v>
      </c>
    </row>
    <row r="110" spans="1:3">
      <c r="A110" s="1">
        <v>86</v>
      </c>
      <c r="B110" s="1">
        <v>589265.41934880579</v>
      </c>
      <c r="C110" s="1">
        <v>22501.300651194178</v>
      </c>
    </row>
    <row r="111" spans="1:3">
      <c r="A111" s="1">
        <v>87</v>
      </c>
      <c r="B111" s="1">
        <v>581558.96463711548</v>
      </c>
      <c r="C111" s="1">
        <v>33037.355362884467</v>
      </c>
    </row>
    <row r="112" spans="1:3">
      <c r="A112" s="1">
        <v>88</v>
      </c>
      <c r="B112" s="1">
        <v>491364.9020854804</v>
      </c>
      <c r="C112" s="1">
        <v>-40652.982085480413</v>
      </c>
    </row>
    <row r="113" spans="1:3">
      <c r="A113" s="1">
        <v>89</v>
      </c>
      <c r="B113" s="1">
        <v>697013.07318817999</v>
      </c>
      <c r="C113" s="1">
        <v>14200.386811819975</v>
      </c>
    </row>
    <row r="114" spans="1:3">
      <c r="A114" s="1">
        <v>90</v>
      </c>
      <c r="B114" s="1">
        <v>639071.95072621189</v>
      </c>
      <c r="C114" s="1">
        <v>-11900.050726211863</v>
      </c>
    </row>
    <row r="115" spans="1:3">
      <c r="A115" s="1">
        <v>91</v>
      </c>
      <c r="B115" s="1">
        <v>660050.63299692445</v>
      </c>
      <c r="C115" s="1">
        <v>79801.947003075504</v>
      </c>
    </row>
    <row r="116" spans="1:3">
      <c r="A116" s="1">
        <v>92</v>
      </c>
      <c r="B116" s="1">
        <v>578454.97593379579</v>
      </c>
      <c r="C116" s="1">
        <v>7852.2440662041772</v>
      </c>
    </row>
    <row r="117" spans="1:3">
      <c r="A117" s="1">
        <v>93</v>
      </c>
      <c r="B117" s="1">
        <v>607282.82504048932</v>
      </c>
      <c r="C117" s="1">
        <v>-21345.345040489337</v>
      </c>
    </row>
    <row r="118" spans="1:3">
      <c r="A118" s="1">
        <v>94</v>
      </c>
      <c r="B118" s="1">
        <v>677497.19019144564</v>
      </c>
      <c r="C118" s="1">
        <v>75976.359808554407</v>
      </c>
    </row>
    <row r="119" spans="1:3">
      <c r="A119" s="1">
        <v>95</v>
      </c>
      <c r="B119" s="1">
        <v>730764.49058289791</v>
      </c>
      <c r="C119" s="1">
        <v>107485.82941710204</v>
      </c>
    </row>
    <row r="120" spans="1:3">
      <c r="A120" s="1">
        <v>96</v>
      </c>
      <c r="B120" s="1">
        <v>662512.41714093671</v>
      </c>
      <c r="C120" s="1">
        <v>-54614.297140936716</v>
      </c>
    </row>
    <row r="121" spans="1:3">
      <c r="A121" s="1">
        <v>97</v>
      </c>
      <c r="B121" s="1">
        <v>674535.91361241648</v>
      </c>
      <c r="C121" s="1">
        <v>16577.706387583516</v>
      </c>
    </row>
    <row r="122" spans="1:3">
      <c r="A122" s="1">
        <v>98</v>
      </c>
      <c r="B122" s="1">
        <v>630152.4429580518</v>
      </c>
      <c r="C122" s="1">
        <v>105356.95704194822</v>
      </c>
    </row>
    <row r="123" spans="1:3">
      <c r="A123" s="1">
        <v>99</v>
      </c>
      <c r="B123" s="1">
        <v>614525.46534823533</v>
      </c>
      <c r="C123" s="1">
        <v>-8750.1353482353734</v>
      </c>
    </row>
    <row r="124" spans="1:3">
      <c r="A124" s="1">
        <v>100</v>
      </c>
      <c r="B124" s="1">
        <v>634826.26502856775</v>
      </c>
      <c r="C124" s="1">
        <v>40351.414971432299</v>
      </c>
    </row>
    <row r="125" spans="1:3">
      <c r="A125" s="1">
        <v>101</v>
      </c>
      <c r="B125" s="1">
        <v>576349.97210051003</v>
      </c>
      <c r="C125" s="1">
        <v>58831.377899489948</v>
      </c>
    </row>
    <row r="126" spans="1:3">
      <c r="A126" s="1">
        <v>102</v>
      </c>
      <c r="B126" s="1">
        <v>602430.61281461013</v>
      </c>
      <c r="C126" s="1">
        <v>-15803.672814610181</v>
      </c>
    </row>
    <row r="127" spans="1:3">
      <c r="A127" s="1">
        <v>103</v>
      </c>
      <c r="B127" s="1">
        <v>690162.89122223307</v>
      </c>
      <c r="C127" s="1">
        <v>49939.748777766945</v>
      </c>
    </row>
    <row r="128" spans="1:3">
      <c r="A128" s="1">
        <v>104</v>
      </c>
      <c r="B128" s="1">
        <v>532537.34994330746</v>
      </c>
      <c r="C128" s="1">
        <v>92976.690056692576</v>
      </c>
    </row>
    <row r="129" spans="1:3">
      <c r="A129" s="1">
        <v>105</v>
      </c>
      <c r="B129" s="1">
        <v>709500.38406360417</v>
      </c>
      <c r="C129" s="1">
        <v>17726.815936395782</v>
      </c>
    </row>
    <row r="130" spans="1:3">
      <c r="A130" s="1">
        <v>106</v>
      </c>
      <c r="B130" s="1">
        <v>758200.89647775842</v>
      </c>
      <c r="C130" s="1">
        <v>25596.993522241595</v>
      </c>
    </row>
    <row r="131" spans="1:3">
      <c r="A131" s="1">
        <v>107</v>
      </c>
      <c r="B131" s="1">
        <v>695871.37619385554</v>
      </c>
      <c r="C131" s="1">
        <v>99282.463806144428</v>
      </c>
    </row>
    <row r="132" spans="1:3">
      <c r="A132" s="1">
        <v>108</v>
      </c>
      <c r="B132" s="1">
        <v>699974.34976720915</v>
      </c>
      <c r="C132" s="1">
        <v>-34379.409767209203</v>
      </c>
    </row>
    <row r="133" spans="1:3">
      <c r="A133" s="1">
        <v>109</v>
      </c>
      <c r="B133" s="1">
        <v>695264.8496656206</v>
      </c>
      <c r="C133" s="1">
        <v>14213.540334379417</v>
      </c>
    </row>
    <row r="134" spans="1:3">
      <c r="A134" s="1">
        <v>110</v>
      </c>
      <c r="B134" s="1">
        <v>642390.00761596742</v>
      </c>
      <c r="C134" s="1">
        <v>21772.48238403257</v>
      </c>
    </row>
    <row r="135" spans="1:3">
      <c r="A135" s="1">
        <v>111</v>
      </c>
      <c r="B135" s="1">
        <v>649275.86761298706</v>
      </c>
      <c r="C135" s="1">
        <v>-15781.657612987095</v>
      </c>
    </row>
    <row r="136" spans="1:3">
      <c r="A136" s="1">
        <v>112</v>
      </c>
      <c r="B136" s="1">
        <v>591370.42318209168</v>
      </c>
      <c r="C136" s="1">
        <v>122240.73681790836</v>
      </c>
    </row>
    <row r="137" spans="1:3">
      <c r="A137" s="1">
        <v>113</v>
      </c>
      <c r="B137" s="1">
        <v>766299.80953124783</v>
      </c>
      <c r="C137" s="1">
        <v>12098.160468752147</v>
      </c>
    </row>
    <row r="138" spans="1:3">
      <c r="A138" s="1">
        <v>114</v>
      </c>
      <c r="B138" s="1">
        <v>784959.41978223878</v>
      </c>
      <c r="C138" s="1">
        <v>88420.600217761239</v>
      </c>
    </row>
    <row r="139" spans="1:3">
      <c r="A139" s="1">
        <v>115</v>
      </c>
      <c r="B139" s="1">
        <v>775540.41957906168</v>
      </c>
      <c r="C139" s="1">
        <v>-78252.519579061656</v>
      </c>
    </row>
    <row r="140" spans="1:3">
      <c r="A140" s="1">
        <v>116</v>
      </c>
      <c r="B140" s="1">
        <v>776396.69232480507</v>
      </c>
      <c r="C140" s="1">
        <v>-58321.902324805036</v>
      </c>
    </row>
    <row r="141" spans="1:3">
      <c r="A141" s="1">
        <v>117</v>
      </c>
      <c r="B141" s="1">
        <v>725448.46395307442</v>
      </c>
      <c r="C141" s="1">
        <v>-10506.033953074366</v>
      </c>
    </row>
    <row r="142" spans="1:3">
      <c r="A142" s="1">
        <v>118</v>
      </c>
      <c r="B142" s="1">
        <v>747319.0970006031</v>
      </c>
      <c r="C142" s="1">
        <v>73199.942999396939</v>
      </c>
    </row>
    <row r="143" spans="1:3">
      <c r="A143" s="1">
        <v>119</v>
      </c>
      <c r="B143" s="1">
        <v>750101.98342426901</v>
      </c>
      <c r="C143" s="1">
        <v>-65884.663424269063</v>
      </c>
    </row>
    <row r="144" spans="1:3">
      <c r="A144" s="1">
        <v>120</v>
      </c>
      <c r="B144" s="1">
        <v>725270.07379771129</v>
      </c>
      <c r="C144" s="1">
        <v>10210.116202288656</v>
      </c>
    </row>
    <row r="145" spans="1:3">
      <c r="A145" s="1">
        <v>121</v>
      </c>
      <c r="B145" s="1">
        <v>583878.0366568371</v>
      </c>
      <c r="C145" s="1">
        <v>-74393.226656837098</v>
      </c>
    </row>
    <row r="146" spans="1:3">
      <c r="A146" s="1">
        <v>122</v>
      </c>
      <c r="B146" s="1">
        <v>578205.22971628734</v>
      </c>
      <c r="C146" s="1">
        <v>76111.860283712624</v>
      </c>
    </row>
    <row r="147" spans="1:3">
      <c r="A147" s="1">
        <v>123</v>
      </c>
      <c r="B147" s="1">
        <v>604214.51436824223</v>
      </c>
      <c r="C147" s="1">
        <v>-46727.254368242226</v>
      </c>
    </row>
    <row r="148" spans="1:3">
      <c r="A148" s="1">
        <v>124</v>
      </c>
      <c r="B148" s="1">
        <v>514412.91015840613</v>
      </c>
      <c r="C148" s="1">
        <v>-73137.490158406144</v>
      </c>
    </row>
    <row r="149" spans="1:3">
      <c r="A149" s="1">
        <v>125</v>
      </c>
      <c r="B149" s="1">
        <v>817319.39396512369</v>
      </c>
      <c r="C149" s="1">
        <v>97224.776034876355</v>
      </c>
    </row>
    <row r="150" spans="1:3">
      <c r="A150" s="1">
        <v>126</v>
      </c>
      <c r="B150" s="1">
        <v>841580.45509451919</v>
      </c>
      <c r="C150" s="1">
        <v>859.21490548085421</v>
      </c>
    </row>
    <row r="151" spans="1:3">
      <c r="A151" s="1">
        <v>127</v>
      </c>
      <c r="B151" s="1">
        <v>787992.05242341314</v>
      </c>
      <c r="C151" s="1">
        <v>54165.867576586897</v>
      </c>
    </row>
    <row r="152" spans="1:3">
      <c r="A152" s="1">
        <v>128</v>
      </c>
      <c r="B152" s="1">
        <v>739719.67638213059</v>
      </c>
      <c r="C152" s="1">
        <v>-42564.376382130547</v>
      </c>
    </row>
    <row r="153" spans="1:3">
      <c r="A153" s="1">
        <v>129</v>
      </c>
      <c r="B153" s="1">
        <v>825239.91686324985</v>
      </c>
      <c r="C153" s="1">
        <v>23778.383136750199</v>
      </c>
    </row>
    <row r="154" spans="1:3">
      <c r="A154" s="1">
        <v>130</v>
      </c>
      <c r="B154" s="1">
        <v>824455.00017965178</v>
      </c>
      <c r="C154" s="1">
        <v>-22624.650179651799</v>
      </c>
    </row>
    <row r="155" spans="1:3">
      <c r="A155" s="1">
        <v>131</v>
      </c>
      <c r="B155" s="1">
        <v>789597.56382168201</v>
      </c>
      <c r="C155" s="1">
        <v>-64362.28382168198</v>
      </c>
    </row>
    <row r="156" spans="1:3">
      <c r="A156" s="1">
        <v>132</v>
      </c>
      <c r="B156" s="1">
        <v>833017.72763708548</v>
      </c>
      <c r="C156" s="1">
        <v>-21565.007637085509</v>
      </c>
    </row>
    <row r="157" spans="1:3">
      <c r="A157" s="1">
        <v>133</v>
      </c>
      <c r="B157" s="1">
        <v>554978.83148799837</v>
      </c>
      <c r="C157" s="1">
        <v>-27678.701487998362</v>
      </c>
    </row>
    <row r="158" spans="1:3">
      <c r="A158" s="1">
        <v>134</v>
      </c>
      <c r="B158" s="1">
        <v>511130.53129972325</v>
      </c>
      <c r="C158" s="1">
        <v>-110298.88129972323</v>
      </c>
    </row>
    <row r="159" spans="1:3">
      <c r="A159" s="1">
        <v>135</v>
      </c>
      <c r="B159" s="1">
        <v>575493.69935476664</v>
      </c>
      <c r="C159" s="1">
        <v>17753.550645233365</v>
      </c>
    </row>
    <row r="160" spans="1:3">
      <c r="A160" s="1">
        <v>136</v>
      </c>
      <c r="B160" s="1">
        <v>516446.55792954663</v>
      </c>
      <c r="C160" s="1">
        <v>12629.392070453323</v>
      </c>
    </row>
    <row r="161" spans="1:3">
      <c r="A161" s="1">
        <v>137</v>
      </c>
      <c r="B161" s="1">
        <v>727838.89203494135</v>
      </c>
      <c r="C161" s="1">
        <v>-94200.862034941325</v>
      </c>
    </row>
    <row r="162" spans="1:3">
      <c r="A162" s="1">
        <v>138</v>
      </c>
      <c r="B162" s="1">
        <v>669184.2089515205</v>
      </c>
      <c r="C162" s="1">
        <v>74164.631048479467</v>
      </c>
    </row>
    <row r="163" spans="1:3">
      <c r="A163" s="1">
        <v>139</v>
      </c>
      <c r="B163" s="1">
        <v>679887.61827331258</v>
      </c>
      <c r="C163" s="1">
        <v>78940.021726687439</v>
      </c>
    </row>
    <row r="164" spans="1:3">
      <c r="A164" s="1">
        <v>140</v>
      </c>
      <c r="B164" s="1">
        <v>641391.0227459335</v>
      </c>
      <c r="C164" s="1">
        <v>5168.6872540664626</v>
      </c>
    </row>
    <row r="165" spans="1:3">
      <c r="A165" s="1">
        <v>141</v>
      </c>
      <c r="B165" s="1">
        <v>675713.28863781365</v>
      </c>
      <c r="C165" s="1">
        <v>40177.241362186382</v>
      </c>
    </row>
    <row r="166" spans="1:3">
      <c r="A166" s="1">
        <v>142</v>
      </c>
      <c r="B166" s="1">
        <v>685596.10324493505</v>
      </c>
      <c r="C166" s="1">
        <v>29501.466755064903</v>
      </c>
    </row>
    <row r="167" spans="1:3">
      <c r="A167" s="1">
        <v>143</v>
      </c>
      <c r="B167" s="1">
        <v>647813.06833900884</v>
      </c>
      <c r="C167" s="1">
        <v>34826.21166099119</v>
      </c>
    </row>
    <row r="168" spans="1:3">
      <c r="A168" s="1">
        <v>144</v>
      </c>
      <c r="B168" s="1">
        <v>663654.11413526116</v>
      </c>
      <c r="C168" s="1">
        <v>31444.39586473885</v>
      </c>
    </row>
    <row r="169" spans="1:3">
      <c r="A169" s="1">
        <v>145</v>
      </c>
      <c r="B169" s="1">
        <v>600254.25291917904</v>
      </c>
      <c r="C169" s="1">
        <v>-22521.682919179089</v>
      </c>
    </row>
    <row r="170" spans="1:3">
      <c r="A170" s="1">
        <v>146</v>
      </c>
      <c r="B170" s="1">
        <v>558867.73687491613</v>
      </c>
      <c r="C170" s="1">
        <v>-21809.406874916167</v>
      </c>
    </row>
    <row r="171" spans="1:3">
      <c r="A171" s="1">
        <v>147</v>
      </c>
      <c r="B171" s="1">
        <v>598363.31727232912</v>
      </c>
      <c r="C171" s="1">
        <v>3205.5527276708744</v>
      </c>
    </row>
    <row r="172" spans="1:3">
      <c r="A172" s="1">
        <v>148</v>
      </c>
      <c r="B172" s="1">
        <v>565931.98702729901</v>
      </c>
      <c r="C172" s="1">
        <v>5032.8529727009591</v>
      </c>
    </row>
    <row r="173" spans="1:3">
      <c r="A173" s="1">
        <v>149</v>
      </c>
      <c r="B173" s="1">
        <v>636538.81052005442</v>
      </c>
      <c r="C173" s="1">
        <v>-22513.900520054391</v>
      </c>
    </row>
    <row r="174" spans="1:3">
      <c r="A174" s="1">
        <v>150</v>
      </c>
      <c r="B174" s="1">
        <v>680137.36449082103</v>
      </c>
      <c r="C174" s="1">
        <v>32730.98550917895</v>
      </c>
    </row>
    <row r="175" spans="1:3">
      <c r="A175" s="1">
        <v>151</v>
      </c>
      <c r="B175" s="1">
        <v>644423.65538710798</v>
      </c>
      <c r="C175" s="1">
        <v>52320.494612892042</v>
      </c>
    </row>
    <row r="176" spans="1:3">
      <c r="A176" s="1">
        <v>152</v>
      </c>
      <c r="B176" s="1">
        <v>657303.42460433114</v>
      </c>
      <c r="C176" s="1">
        <v>68544.565395668847</v>
      </c>
    </row>
    <row r="177" spans="1:3">
      <c r="A177" s="1">
        <v>153</v>
      </c>
      <c r="B177" s="1">
        <v>791559.85553067725</v>
      </c>
      <c r="C177" s="1">
        <v>-6531.6055306772469</v>
      </c>
    </row>
    <row r="178" spans="1:3">
      <c r="A178" s="1">
        <v>154</v>
      </c>
      <c r="B178" s="1">
        <v>686880.51236355014</v>
      </c>
      <c r="C178" s="1">
        <v>11612.157636449905</v>
      </c>
    </row>
    <row r="179" spans="1:3">
      <c r="A179" s="1">
        <v>155</v>
      </c>
      <c r="B179" s="1">
        <v>722736.93359155382</v>
      </c>
      <c r="C179" s="1">
        <v>-36906.693591553834</v>
      </c>
    </row>
    <row r="180" spans="1:3">
      <c r="A180" s="1">
        <v>156</v>
      </c>
      <c r="B180" s="1">
        <v>720881.67597577651</v>
      </c>
      <c r="C180" s="1">
        <v>-18562.735975776566</v>
      </c>
    </row>
    <row r="181" spans="1:3">
      <c r="A181" s="1">
        <v>157</v>
      </c>
      <c r="B181" s="1">
        <v>675606.25454459572</v>
      </c>
      <c r="C181" s="1">
        <v>24472.065455404227</v>
      </c>
    </row>
    <row r="182" spans="1:3">
      <c r="A182" s="1">
        <v>158</v>
      </c>
      <c r="B182" s="1">
        <v>639071.95072621189</v>
      </c>
      <c r="C182" s="1">
        <v>-37069.630726211937</v>
      </c>
    </row>
    <row r="183" spans="1:3">
      <c r="A183" s="1">
        <v>159</v>
      </c>
      <c r="B183" s="1">
        <v>696691.97090852621</v>
      </c>
      <c r="C183" s="1">
        <v>27524.099091473734</v>
      </c>
    </row>
    <row r="184" spans="1:3">
      <c r="A184" s="1">
        <v>160</v>
      </c>
      <c r="B184" s="1">
        <v>583663.96847040125</v>
      </c>
      <c r="C184" s="1">
        <v>37309.061529598781</v>
      </c>
    </row>
    <row r="185" spans="1:3">
      <c r="A185" s="1">
        <v>161</v>
      </c>
      <c r="B185" s="1">
        <v>712390.30458048801</v>
      </c>
      <c r="C185" s="1">
        <v>-61910.244580487953</v>
      </c>
    </row>
    <row r="186" spans="1:3">
      <c r="A186" s="1">
        <v>162</v>
      </c>
      <c r="B186" s="1">
        <v>695871.37619385554</v>
      </c>
      <c r="C186" s="1">
        <v>82427.503806144465</v>
      </c>
    </row>
    <row r="187" spans="1:3">
      <c r="A187" s="1">
        <v>163</v>
      </c>
      <c r="B187" s="1">
        <v>733190.59669583745</v>
      </c>
      <c r="C187" s="1">
        <v>-56093.886695837486</v>
      </c>
    </row>
    <row r="188" spans="1:3">
      <c r="A188" s="1">
        <v>164</v>
      </c>
      <c r="B188" s="1">
        <v>662441.06107879139</v>
      </c>
      <c r="C188" s="1">
        <v>29567.578921208624</v>
      </c>
    </row>
    <row r="189" spans="1:3">
      <c r="A189" s="1">
        <v>165</v>
      </c>
      <c r="B189" s="1">
        <v>779036.86662418046</v>
      </c>
      <c r="C189" s="1">
        <v>46761.043375819572</v>
      </c>
    </row>
    <row r="190" spans="1:3">
      <c r="A190" s="1">
        <v>166</v>
      </c>
      <c r="B190" s="1">
        <v>759984.79803139041</v>
      </c>
      <c r="C190" s="1">
        <v>-53699.278031390393</v>
      </c>
    </row>
    <row r="191" spans="1:3">
      <c r="A191" s="1">
        <v>167</v>
      </c>
      <c r="B191" s="1">
        <v>693980.44054700562</v>
      </c>
      <c r="C191" s="1">
        <v>-28445.740547005669</v>
      </c>
    </row>
    <row r="192" spans="1:3">
      <c r="A192" s="1">
        <v>168</v>
      </c>
      <c r="B192" s="1">
        <v>783211.19625967939</v>
      </c>
      <c r="C192" s="1">
        <v>37518.093740320648</v>
      </c>
    </row>
    <row r="193" spans="1:3">
      <c r="A193" s="1">
        <v>169</v>
      </c>
      <c r="B193" s="1">
        <v>780856.44620888506</v>
      </c>
      <c r="C193" s="1">
        <v>-41024.716208885075</v>
      </c>
    </row>
    <row r="194" spans="1:3">
      <c r="A194" s="1">
        <v>170</v>
      </c>
      <c r="B194" s="1">
        <v>716707.34634027758</v>
      </c>
      <c r="C194" s="1">
        <v>-123070.20634027757</v>
      </c>
    </row>
    <row r="195" spans="1:3">
      <c r="A195" s="1">
        <v>171</v>
      </c>
      <c r="B195" s="1">
        <v>765693.28300301288</v>
      </c>
      <c r="C195" s="1">
        <v>4009.4769969871268</v>
      </c>
    </row>
    <row r="196" spans="1:3">
      <c r="A196" s="1">
        <v>172</v>
      </c>
      <c r="B196" s="1">
        <v>720096.75929217844</v>
      </c>
      <c r="C196" s="1">
        <v>-40365.189292178489</v>
      </c>
    </row>
    <row r="197" spans="1:3">
      <c r="A197" s="1">
        <v>173</v>
      </c>
      <c r="B197" s="1">
        <v>758272.25253990362</v>
      </c>
      <c r="C197" s="1">
        <v>22071.927460096427</v>
      </c>
    </row>
    <row r="198" spans="1:3">
      <c r="A198" s="1">
        <v>174</v>
      </c>
      <c r="B198" s="1">
        <v>784638.31750258501</v>
      </c>
      <c r="C198" s="1">
        <v>-63274.207502585021</v>
      </c>
    </row>
    <row r="199" spans="1:3">
      <c r="A199" s="1">
        <v>175</v>
      </c>
      <c r="B199" s="1">
        <v>796982.91625371855</v>
      </c>
      <c r="C199" s="1">
        <v>-38844.62625371851</v>
      </c>
    </row>
    <row r="200" spans="1:3">
      <c r="A200" s="1">
        <v>176</v>
      </c>
      <c r="B200" s="1">
        <v>817533.46215155954</v>
      </c>
      <c r="C200" s="1">
        <v>-13269.462151559535</v>
      </c>
    </row>
    <row r="201" spans="1:3">
      <c r="A201" s="1">
        <v>177</v>
      </c>
      <c r="B201" s="1">
        <v>887426.72502286208</v>
      </c>
      <c r="C201" s="1">
        <v>111.02497713791672</v>
      </c>
    </row>
    <row r="202" spans="1:3">
      <c r="A202" s="1">
        <v>178</v>
      </c>
      <c r="B202" s="1">
        <v>729158.97918462905</v>
      </c>
      <c r="C202" s="1">
        <v>54423.020815370954</v>
      </c>
    </row>
    <row r="203" spans="1:3">
      <c r="A203" s="1">
        <v>179</v>
      </c>
      <c r="B203" s="1">
        <v>762874.71854827425</v>
      </c>
      <c r="C203" s="1">
        <v>19080.801451725769</v>
      </c>
    </row>
    <row r="204" spans="1:3">
      <c r="A204" s="1">
        <v>180</v>
      </c>
      <c r="B204" s="1">
        <v>803155.21562928543</v>
      </c>
      <c r="C204" s="1">
        <v>94875.824370714603</v>
      </c>
    </row>
    <row r="205" spans="1:3">
      <c r="A205" s="1">
        <v>181</v>
      </c>
      <c r="B205" s="1">
        <v>844363.3415181851</v>
      </c>
      <c r="C205" s="1">
        <v>10977.938481814926</v>
      </c>
    </row>
    <row r="206" spans="1:3">
      <c r="A206" s="1">
        <v>182</v>
      </c>
      <c r="B206" s="1">
        <v>777752.45750556537</v>
      </c>
      <c r="C206" s="1">
        <v>-26358.577505565365</v>
      </c>
    </row>
    <row r="207" spans="1:3">
      <c r="A207" s="1">
        <v>183</v>
      </c>
      <c r="B207" s="1">
        <v>796483.42381870165</v>
      </c>
      <c r="C207" s="1">
        <v>-35406.343818701687</v>
      </c>
    </row>
    <row r="208" spans="1:3">
      <c r="A208" s="1">
        <v>184</v>
      </c>
      <c r="B208" s="1">
        <v>829628.31468518462</v>
      </c>
      <c r="C208" s="1">
        <v>-9967.7246851846576</v>
      </c>
    </row>
    <row r="209" spans="1:3">
      <c r="A209" s="1">
        <v>185</v>
      </c>
      <c r="B209" s="1">
        <v>663475.72397989803</v>
      </c>
      <c r="C209" s="1">
        <v>18379.836020102026</v>
      </c>
    </row>
    <row r="210" spans="1:3">
      <c r="A210" s="1">
        <v>186</v>
      </c>
      <c r="B210" s="1">
        <v>633791.60212746111</v>
      </c>
      <c r="C210" s="1">
        <v>44519.56787253893</v>
      </c>
    </row>
    <row r="211" spans="1:3">
      <c r="A211" s="1">
        <v>187</v>
      </c>
      <c r="B211" s="1">
        <v>678888.63340327865</v>
      </c>
      <c r="C211" s="1">
        <v>87018.316596721299</v>
      </c>
    </row>
    <row r="212" spans="1:3">
      <c r="A212" s="1">
        <v>188</v>
      </c>
      <c r="B212" s="1">
        <v>729408.7254021375</v>
      </c>
      <c r="C212" s="1">
        <v>-16862.345402137493</v>
      </c>
    </row>
    <row r="213" spans="1:3">
      <c r="A213" s="1">
        <v>189</v>
      </c>
      <c r="B213" s="1">
        <v>571497.75987463084</v>
      </c>
      <c r="C213" s="1">
        <v>54496.070125369122</v>
      </c>
    </row>
    <row r="214" spans="1:3">
      <c r="A214" s="1">
        <v>190</v>
      </c>
      <c r="B214" s="1">
        <v>528898.19077389815</v>
      </c>
      <c r="C214" s="1">
        <v>22064.739226101898</v>
      </c>
    </row>
    <row r="215" spans="1:3">
      <c r="A215" s="1">
        <v>191</v>
      </c>
      <c r="B215" s="1">
        <v>491650.32633406157</v>
      </c>
      <c r="C215" s="1">
        <v>-48374.736334061541</v>
      </c>
    </row>
    <row r="216" spans="1:3">
      <c r="A216" s="1">
        <v>192</v>
      </c>
      <c r="B216" s="1">
        <v>604214.51436824223</v>
      </c>
      <c r="C216" s="1">
        <v>-50202.444368242286</v>
      </c>
    </row>
    <row r="217" spans="1:3">
      <c r="A217" s="1">
        <v>193</v>
      </c>
      <c r="B217" s="1">
        <v>666793.78086965356</v>
      </c>
      <c r="C217" s="1">
        <v>-23364.930869653588</v>
      </c>
    </row>
    <row r="218" spans="1:3">
      <c r="A218" s="1">
        <v>194</v>
      </c>
      <c r="B218" s="1">
        <v>630152.4429580518</v>
      </c>
      <c r="C218" s="1">
        <v>-18228.172958051786</v>
      </c>
    </row>
    <row r="219" spans="1:3">
      <c r="A219" s="1">
        <v>195</v>
      </c>
      <c r="B219" s="1">
        <v>581380.57448175224</v>
      </c>
      <c r="C219" s="1">
        <v>-21958.554481752217</v>
      </c>
    </row>
    <row r="220" spans="1:3">
      <c r="A220" s="1">
        <v>196</v>
      </c>
      <c r="B220" s="1">
        <v>558261.2103466813</v>
      </c>
      <c r="C220" s="1">
        <v>-108796.1503466813</v>
      </c>
    </row>
    <row r="221" spans="1:3">
      <c r="A221" s="1">
        <v>197</v>
      </c>
      <c r="B221" s="1">
        <v>623730.39736497647</v>
      </c>
      <c r="C221" s="1">
        <v>67717.032635023585</v>
      </c>
    </row>
    <row r="222" spans="1:3">
      <c r="A222" s="1">
        <v>198</v>
      </c>
      <c r="B222" s="1">
        <v>602180.86659710167</v>
      </c>
      <c r="C222" s="1">
        <v>-28114.256597101688</v>
      </c>
    </row>
    <row r="223" spans="1:3">
      <c r="A223" s="1">
        <v>199</v>
      </c>
      <c r="B223" s="1">
        <v>625228.87467002741</v>
      </c>
      <c r="C223" s="1">
        <v>-46279.034670027439</v>
      </c>
    </row>
    <row r="224" spans="1:3">
      <c r="A224" s="1">
        <v>200</v>
      </c>
      <c r="B224" s="1">
        <v>645315.60616392398</v>
      </c>
      <c r="C224" s="1">
        <v>90471.033836076036</v>
      </c>
    </row>
    <row r="225" spans="1:3">
      <c r="A225" s="1">
        <v>201</v>
      </c>
      <c r="B225" s="1">
        <v>658873.2579715274</v>
      </c>
      <c r="C225" s="1">
        <v>-59968.357971527381</v>
      </c>
    </row>
    <row r="226" spans="1:3">
      <c r="A226" s="1">
        <v>202</v>
      </c>
      <c r="B226" s="1">
        <v>674357.52345705335</v>
      </c>
      <c r="C226" s="1">
        <v>113357.98654294666</v>
      </c>
    </row>
    <row r="227" spans="1:3">
      <c r="A227" s="1">
        <v>203</v>
      </c>
      <c r="B227" s="1">
        <v>692446.28521088208</v>
      </c>
      <c r="C227" s="1">
        <v>-85361.365210882039</v>
      </c>
    </row>
    <row r="228" spans="1:3">
      <c r="A228" s="1">
        <v>204</v>
      </c>
      <c r="B228" s="1">
        <v>661013.93983588577</v>
      </c>
      <c r="C228" s="1">
        <v>-10218.449835885782</v>
      </c>
    </row>
    <row r="229" spans="1:3">
      <c r="A229" s="1">
        <v>205</v>
      </c>
      <c r="B229" s="1">
        <v>784495.60537829436</v>
      </c>
      <c r="C229" s="1">
        <v>40564.914621705655</v>
      </c>
    </row>
    <row r="230" spans="1:3">
      <c r="A230" s="1">
        <v>206</v>
      </c>
      <c r="B230" s="1">
        <v>727375.07763099705</v>
      </c>
      <c r="C230" s="1">
        <v>68089.392369002919</v>
      </c>
    </row>
    <row r="231" spans="1:3">
      <c r="A231" s="1">
        <v>207</v>
      </c>
      <c r="B231" s="1">
        <v>777609.74538127484</v>
      </c>
      <c r="C231" s="1">
        <v>-105741.15538127488</v>
      </c>
    </row>
    <row r="232" spans="1:3">
      <c r="A232" s="1">
        <v>208</v>
      </c>
      <c r="B232" s="1">
        <v>742645.27493008715</v>
      </c>
      <c r="C232" s="1">
        <v>-66727.644930087146</v>
      </c>
    </row>
    <row r="233" spans="1:3">
      <c r="A233" s="1">
        <v>209</v>
      </c>
      <c r="B233" s="1">
        <v>807650.64754443802</v>
      </c>
      <c r="C233" s="1">
        <v>2795.8824555620085</v>
      </c>
    </row>
    <row r="234" spans="1:3">
      <c r="A234" s="1">
        <v>210</v>
      </c>
      <c r="B234" s="1">
        <v>783853.40081898693</v>
      </c>
      <c r="C234" s="1">
        <v>-92565.21081898699</v>
      </c>
    </row>
    <row r="235" spans="1:3">
      <c r="A235" s="1">
        <v>211</v>
      </c>
      <c r="B235" s="1">
        <v>905586.84283883614</v>
      </c>
      <c r="C235" s="1">
        <v>41246.697161163902</v>
      </c>
    </row>
    <row r="236" spans="1:3">
      <c r="A236" s="1">
        <v>212</v>
      </c>
      <c r="B236" s="1">
        <v>794342.74195434316</v>
      </c>
      <c r="C236" s="1">
        <v>-32379.511954343179</v>
      </c>
    </row>
    <row r="237" spans="1:3">
      <c r="A237" s="1">
        <v>213</v>
      </c>
      <c r="B237" s="1">
        <v>785530.268279401</v>
      </c>
      <c r="C237" s="1">
        <v>26622.331720598973</v>
      </c>
    </row>
    <row r="238" spans="1:3">
      <c r="A238" s="1">
        <v>214</v>
      </c>
      <c r="B238" s="1">
        <v>782212.21138964547</v>
      </c>
      <c r="C238" s="1">
        <v>22763.288610354532</v>
      </c>
    </row>
    <row r="239" spans="1:3">
      <c r="A239" s="1">
        <v>215</v>
      </c>
      <c r="B239" s="1">
        <v>790489.514598498</v>
      </c>
      <c r="C239" s="1">
        <v>-38167.794598498032</v>
      </c>
    </row>
    <row r="240" spans="1:3">
      <c r="A240" s="1">
        <v>216</v>
      </c>
      <c r="B240" s="1">
        <v>846860.80369326996</v>
      </c>
      <c r="C240" s="1">
        <v>-9952.5636932699708</v>
      </c>
    </row>
    <row r="241" spans="1:3">
      <c r="A241" s="1">
        <v>217</v>
      </c>
      <c r="B241" s="1">
        <v>638857.88253977604</v>
      </c>
      <c r="C241" s="1">
        <v>35431.217460223939</v>
      </c>
    </row>
    <row r="242" spans="1:3">
      <c r="A242" s="1">
        <v>218</v>
      </c>
      <c r="B242" s="1">
        <v>625300.23073217273</v>
      </c>
      <c r="C242" s="1">
        <v>-2407.8107321726857</v>
      </c>
    </row>
    <row r="243" spans="1:3">
      <c r="A243" s="1">
        <v>219</v>
      </c>
      <c r="B243" s="1">
        <v>605784.34773543838</v>
      </c>
      <c r="C243" s="1">
        <v>67564.212264561676</v>
      </c>
    </row>
    <row r="244" spans="1:3">
      <c r="A244" s="1">
        <v>220</v>
      </c>
      <c r="B244" s="1">
        <v>613312.41229176545</v>
      </c>
      <c r="C244" s="1">
        <v>-7034.1122917653993</v>
      </c>
    </row>
    <row r="245" spans="1:3">
      <c r="A245" s="1">
        <v>221</v>
      </c>
      <c r="B245" s="1">
        <v>706539.10748457501</v>
      </c>
      <c r="C245" s="1">
        <v>5680.7025154250441</v>
      </c>
    </row>
    <row r="246" spans="1:3">
      <c r="A246" s="1">
        <v>222</v>
      </c>
      <c r="B246" s="1">
        <v>710570.72499578341</v>
      </c>
      <c r="C246" s="1">
        <v>-37900.184995783377</v>
      </c>
    </row>
    <row r="247" spans="1:3">
      <c r="A247" s="1">
        <v>223</v>
      </c>
      <c r="B247" s="1">
        <v>727553.4677863603</v>
      </c>
      <c r="C247" s="1">
        <v>5114.4522136397427</v>
      </c>
    </row>
    <row r="248" spans="1:3">
      <c r="A248" s="1">
        <v>224</v>
      </c>
      <c r="B248" s="1">
        <v>759413.94953422819</v>
      </c>
      <c r="C248" s="1">
        <v>-35882.549534228165</v>
      </c>
    </row>
    <row r="249" spans="1:3">
      <c r="A249" s="1">
        <v>225</v>
      </c>
      <c r="B249" s="1">
        <v>614561.14337930793</v>
      </c>
      <c r="C249" s="1">
        <v>27003.456620692043</v>
      </c>
    </row>
    <row r="250" spans="1:3">
      <c r="A250" s="1">
        <v>226</v>
      </c>
      <c r="B250" s="1">
        <v>547807.54724239768</v>
      </c>
      <c r="C250" s="1">
        <v>-11262.057242397685</v>
      </c>
    </row>
    <row r="251" spans="1:3">
      <c r="A251" s="1">
        <v>227</v>
      </c>
      <c r="B251" s="1">
        <v>584555.91924721724</v>
      </c>
      <c r="C251" s="1">
        <v>-56874.359247217188</v>
      </c>
    </row>
    <row r="252" spans="1:3">
      <c r="A252" s="1">
        <v>228</v>
      </c>
      <c r="B252" s="1">
        <v>495467.87565883406</v>
      </c>
      <c r="C252" s="1">
        <v>34131.064341165882</v>
      </c>
    </row>
    <row r="253" spans="1:3">
      <c r="A253" s="1">
        <v>229</v>
      </c>
      <c r="B253" s="1">
        <v>658944.61403367261</v>
      </c>
      <c r="C253" s="1">
        <v>-87981.304033672553</v>
      </c>
    </row>
    <row r="254" spans="1:3">
      <c r="A254" s="1">
        <v>230</v>
      </c>
      <c r="B254" s="1">
        <v>766121.41937588458</v>
      </c>
      <c r="C254" s="1">
        <v>104815.98062411544</v>
      </c>
    </row>
    <row r="255" spans="1:3">
      <c r="A255" s="1">
        <v>231</v>
      </c>
      <c r="B255" s="1">
        <v>679923.29630438529</v>
      </c>
      <c r="C255" s="1">
        <v>-82954.026304385276</v>
      </c>
    </row>
    <row r="256" spans="1:3">
      <c r="A256" s="1">
        <v>232</v>
      </c>
      <c r="B256" s="1">
        <v>641105.59849735245</v>
      </c>
      <c r="C256" s="1">
        <v>6407.2515026475303</v>
      </c>
    </row>
    <row r="257" spans="1:3">
      <c r="A257" s="1">
        <v>233</v>
      </c>
      <c r="B257" s="1">
        <v>598541.70742769237</v>
      </c>
      <c r="C257" s="1">
        <v>59530.432572307647</v>
      </c>
    </row>
    <row r="258" spans="1:3">
      <c r="A258" s="1">
        <v>234</v>
      </c>
      <c r="B258" s="1">
        <v>636253.38627147337</v>
      </c>
      <c r="C258" s="1">
        <v>87051.723728526616</v>
      </c>
    </row>
    <row r="259" spans="1:3">
      <c r="A259" s="1">
        <v>235</v>
      </c>
      <c r="B259" s="1">
        <v>641890.51518095052</v>
      </c>
      <c r="C259" s="1">
        <v>-1223.9851809504908</v>
      </c>
    </row>
    <row r="260" spans="1:3">
      <c r="A260" s="1">
        <v>236</v>
      </c>
      <c r="B260" s="1">
        <v>666508.35662107239</v>
      </c>
      <c r="C260" s="1">
        <v>4121.1233789275866</v>
      </c>
    </row>
    <row r="261" spans="1:3">
      <c r="A261" s="1">
        <v>237</v>
      </c>
      <c r="B261" s="1">
        <v>799908.5148016751</v>
      </c>
      <c r="C261" s="1">
        <v>-78829.164801675128</v>
      </c>
    </row>
    <row r="262" spans="1:3">
      <c r="A262" s="1">
        <v>238</v>
      </c>
      <c r="B262" s="1">
        <v>803048.18153606751</v>
      </c>
      <c r="C262" s="1">
        <v>7306.8384639325086</v>
      </c>
    </row>
    <row r="263" spans="1:3">
      <c r="A263" s="1">
        <v>239</v>
      </c>
      <c r="B263" s="1">
        <v>792558.84040071117</v>
      </c>
      <c r="C263" s="1">
        <v>-30639.590400711168</v>
      </c>
    </row>
    <row r="264" spans="1:3">
      <c r="A264" s="1">
        <v>240</v>
      </c>
      <c r="B264" s="1">
        <v>778715.76434452669</v>
      </c>
      <c r="C264" s="1">
        <v>-41645.584344526636</v>
      </c>
    </row>
    <row r="265" spans="1:3">
      <c r="A265" s="1">
        <v>241</v>
      </c>
      <c r="B265" s="1">
        <v>733797.12322407227</v>
      </c>
      <c r="C265" s="1">
        <v>43195.806775927776</v>
      </c>
    </row>
    <row r="266" spans="1:3">
      <c r="A266" s="1">
        <v>242</v>
      </c>
      <c r="B266" s="1">
        <v>647920.10243222676</v>
      </c>
      <c r="C266" s="1">
        <v>28417.30756777327</v>
      </c>
    </row>
    <row r="267" spans="1:3">
      <c r="A267" s="1">
        <v>243</v>
      </c>
      <c r="B267" s="1">
        <v>805902.42402187875</v>
      </c>
      <c r="C267" s="1">
        <v>22317.245978121297</v>
      </c>
    </row>
    <row r="268" spans="1:3">
      <c r="A268" s="1">
        <v>244</v>
      </c>
      <c r="B268" s="1">
        <v>731977.54363936768</v>
      </c>
      <c r="C268" s="1">
        <v>31182.376360632363</v>
      </c>
    </row>
    <row r="269" spans="1:3">
      <c r="A269" s="1">
        <v>245</v>
      </c>
      <c r="B269" s="1">
        <v>765158.11253692326</v>
      </c>
      <c r="C269" s="1">
        <v>36843.56746307679</v>
      </c>
    </row>
    <row r="270" spans="1:3">
      <c r="A270" s="1">
        <v>246</v>
      </c>
      <c r="B270" s="1">
        <v>757986.82829132257</v>
      </c>
      <c r="C270" s="1">
        <v>-7515.4882913226029</v>
      </c>
    </row>
    <row r="271" spans="1:3">
      <c r="A271" s="1">
        <v>247</v>
      </c>
      <c r="B271" s="1">
        <v>709500.38406360417</v>
      </c>
      <c r="C271" s="1">
        <v>-30269.524063604185</v>
      </c>
    </row>
    <row r="272" spans="1:3">
      <c r="A272" s="1">
        <v>248</v>
      </c>
      <c r="B272" s="1">
        <v>736080.51721272129</v>
      </c>
      <c r="C272" s="1">
        <v>-56191.777212721296</v>
      </c>
    </row>
    <row r="273" spans="1:3">
      <c r="A273" s="1">
        <v>249</v>
      </c>
      <c r="B273" s="1">
        <v>584662.95334043517</v>
      </c>
      <c r="C273" s="1">
        <v>22120.716659564874</v>
      </c>
    </row>
    <row r="274" spans="1:3">
      <c r="A274" s="1">
        <v>250</v>
      </c>
      <c r="B274" s="1">
        <v>652094.43206772569</v>
      </c>
      <c r="C274" s="1">
        <v>-9343.0120677256491</v>
      </c>
    </row>
    <row r="275" spans="1:3">
      <c r="A275" s="1">
        <v>251</v>
      </c>
      <c r="B275" s="1">
        <v>671967.09537518641</v>
      </c>
      <c r="C275" s="1">
        <v>-24013.315375186387</v>
      </c>
    </row>
    <row r="276" spans="1:3">
      <c r="A276" s="1">
        <v>252</v>
      </c>
      <c r="B276" s="1">
        <v>690448.31547081412</v>
      </c>
      <c r="C276" s="1">
        <v>38992.134529185831</v>
      </c>
    </row>
    <row r="277" spans="1:3">
      <c r="A277" s="1">
        <v>253</v>
      </c>
      <c r="B277" s="1">
        <v>688378.98966860108</v>
      </c>
      <c r="C277" s="1">
        <v>76570.010331398924</v>
      </c>
    </row>
    <row r="278" spans="1:3">
      <c r="A278" s="1">
        <v>254</v>
      </c>
      <c r="B278" s="1">
        <v>691019.16396797646</v>
      </c>
      <c r="C278" s="1">
        <v>108027.77603202348</v>
      </c>
    </row>
    <row r="279" spans="1:3">
      <c r="A279" s="1">
        <v>255</v>
      </c>
      <c r="B279" s="1">
        <v>647670.35621471831</v>
      </c>
      <c r="C279" s="1">
        <v>72409.183785281726</v>
      </c>
    </row>
    <row r="280" spans="1:3">
      <c r="A280" s="1">
        <v>256</v>
      </c>
      <c r="B280" s="1">
        <v>652879.34875132376</v>
      </c>
      <c r="C280" s="1">
        <v>-40489.208751323749</v>
      </c>
    </row>
    <row r="281" spans="1:3">
      <c r="A281" s="1">
        <v>257</v>
      </c>
      <c r="B281" s="1">
        <v>737721.70664206275</v>
      </c>
      <c r="C281" s="1">
        <v>102386.41335793724</v>
      </c>
    </row>
    <row r="282" spans="1:3">
      <c r="A282" s="1">
        <v>258</v>
      </c>
      <c r="B282" s="1">
        <v>716635.99027813226</v>
      </c>
      <c r="C282" s="1">
        <v>-18747.900278132292</v>
      </c>
    </row>
    <row r="283" spans="1:3">
      <c r="A283" s="1">
        <v>259</v>
      </c>
      <c r="B283" s="1">
        <v>754454.70321513119</v>
      </c>
      <c r="C283" s="1">
        <v>-8339.1132151312195</v>
      </c>
    </row>
    <row r="284" spans="1:3">
      <c r="A284" s="1">
        <v>260</v>
      </c>
      <c r="B284" s="1">
        <v>725983.63441916404</v>
      </c>
      <c r="C284" s="1">
        <v>50126.685580835911</v>
      </c>
    </row>
    <row r="285" spans="1:3">
      <c r="A285" s="1">
        <v>261</v>
      </c>
      <c r="B285" s="1">
        <v>555121.54361228889</v>
      </c>
      <c r="C285" s="1">
        <v>-26268.923612288898</v>
      </c>
    </row>
    <row r="286" spans="1:3">
      <c r="A286" s="1">
        <v>262</v>
      </c>
      <c r="B286" s="1">
        <v>617058.60555439279</v>
      </c>
      <c r="C286" s="1">
        <v>-11307.275554392836</v>
      </c>
    </row>
    <row r="287" spans="1:3">
      <c r="A287" s="1">
        <v>263</v>
      </c>
      <c r="B287" s="1">
        <v>621304.29125203693</v>
      </c>
      <c r="C287" s="1">
        <v>56336.358747963095</v>
      </c>
    </row>
    <row r="288" spans="1:3">
      <c r="A288" s="1">
        <v>264</v>
      </c>
      <c r="B288" s="1">
        <v>589907.62390811334</v>
      </c>
      <c r="C288" s="1">
        <v>46705.606091886642</v>
      </c>
    </row>
    <row r="289" spans="1:3">
      <c r="A289" s="1">
        <v>265</v>
      </c>
      <c r="B289" s="1">
        <v>707716.48250997218</v>
      </c>
      <c r="C289" s="1">
        <v>1268.7074900277657</v>
      </c>
    </row>
    <row r="290" spans="1:3">
      <c r="A290" s="1">
        <v>266</v>
      </c>
      <c r="B290" s="1">
        <v>736437.29752344778</v>
      </c>
      <c r="C290" s="1">
        <v>31355.642476552166</v>
      </c>
    </row>
    <row r="291" spans="1:3">
      <c r="A291" s="1">
        <v>267</v>
      </c>
      <c r="B291" s="1">
        <v>730728.81255182519</v>
      </c>
      <c r="C291" s="1">
        <v>14851.697448174818</v>
      </c>
    </row>
    <row r="292" spans="1:3">
      <c r="A292" s="1">
        <v>268</v>
      </c>
      <c r="B292" s="1">
        <v>704719.5278998703</v>
      </c>
      <c r="C292" s="1">
        <v>57608.782100129756</v>
      </c>
    </row>
    <row r="293" spans="1:3">
      <c r="A293" s="1">
        <v>269</v>
      </c>
      <c r="B293" s="1">
        <v>733690.08913085435</v>
      </c>
      <c r="C293" s="1">
        <v>-73056.09913085436</v>
      </c>
    </row>
    <row r="294" spans="1:3">
      <c r="A294" s="1">
        <v>270</v>
      </c>
      <c r="B294" s="1">
        <v>732477.03607438458</v>
      </c>
      <c r="C294" s="1">
        <v>6897.5239256154746</v>
      </c>
    </row>
    <row r="295" spans="1:3">
      <c r="A295" s="1">
        <v>271</v>
      </c>
      <c r="B295" s="1">
        <v>810041.07562630496</v>
      </c>
      <c r="C295" s="1">
        <v>-10284.615626304992</v>
      </c>
    </row>
    <row r="296" spans="1:3">
      <c r="A296" s="1">
        <v>272</v>
      </c>
      <c r="B296" s="1">
        <v>712069.20230083424</v>
      </c>
      <c r="C296" s="1">
        <v>-118726.20230083424</v>
      </c>
    </row>
    <row r="297" spans="1:3">
      <c r="A297" s="1">
        <v>273</v>
      </c>
      <c r="B297" s="1">
        <v>649382.90170620498</v>
      </c>
      <c r="C297" s="1">
        <v>-4342.9317062050104</v>
      </c>
    </row>
    <row r="298" spans="1:3">
      <c r="A298" s="1">
        <v>274</v>
      </c>
      <c r="B298" s="1">
        <v>565075.71428155561</v>
      </c>
      <c r="C298" s="1">
        <v>-3478.3842815556563</v>
      </c>
    </row>
    <row r="299" spans="1:3">
      <c r="A299" s="1">
        <v>275</v>
      </c>
      <c r="B299" s="1">
        <v>652165.78812987101</v>
      </c>
      <c r="C299" s="1">
        <v>-16328.048129871022</v>
      </c>
    </row>
    <row r="300" spans="1:3">
      <c r="A300" s="1">
        <v>276</v>
      </c>
      <c r="B300" s="1">
        <v>656661.22004502371</v>
      </c>
      <c r="C300" s="1">
        <v>30076.649954976281</v>
      </c>
    </row>
    <row r="301" spans="1:3">
      <c r="A301" s="1">
        <v>277</v>
      </c>
      <c r="B301" s="1">
        <v>751957.24104004633</v>
      </c>
      <c r="C301" s="1">
        <v>-78880.901040046359</v>
      </c>
    </row>
    <row r="302" spans="1:3">
      <c r="A302" s="1">
        <v>278</v>
      </c>
      <c r="B302" s="1">
        <v>731870.50954614975</v>
      </c>
      <c r="C302" s="1">
        <v>6677.910453850287</v>
      </c>
    </row>
    <row r="303" spans="1:3">
      <c r="A303" s="1">
        <v>279</v>
      </c>
      <c r="B303" s="1">
        <v>779072.54465525306</v>
      </c>
      <c r="C303" s="1">
        <v>-22452.774655253044</v>
      </c>
    </row>
    <row r="304" spans="1:3">
      <c r="A304" s="1">
        <v>280</v>
      </c>
      <c r="B304" s="1">
        <v>771401.76797463535</v>
      </c>
      <c r="C304" s="1">
        <v>-10279.347974635311</v>
      </c>
    </row>
    <row r="305" spans="1:3">
      <c r="A305" s="1">
        <v>281</v>
      </c>
      <c r="B305" s="1">
        <v>589907.62390811334</v>
      </c>
      <c r="C305" s="1">
        <v>-65008.05390811339</v>
      </c>
    </row>
    <row r="306" spans="1:3">
      <c r="A306" s="1">
        <v>282</v>
      </c>
      <c r="B306" s="1">
        <v>601788.40825530258</v>
      </c>
      <c r="C306" s="1">
        <v>-46230.638255302561</v>
      </c>
    </row>
    <row r="307" spans="1:3">
      <c r="A307" s="1">
        <v>283</v>
      </c>
      <c r="B307" s="1">
        <v>651380.87144627282</v>
      </c>
      <c r="C307" s="1">
        <v>62702.808553727227</v>
      </c>
    </row>
    <row r="308" spans="1:3">
      <c r="A308" s="1">
        <v>284</v>
      </c>
      <c r="B308" s="1">
        <v>554407.98299083614</v>
      </c>
      <c r="C308" s="1">
        <v>-56968.162990836136</v>
      </c>
    </row>
    <row r="309" spans="1:3">
      <c r="A309" s="1">
        <v>285</v>
      </c>
      <c r="B309" s="1">
        <v>644851.79175997968</v>
      </c>
      <c r="C309" s="1">
        <v>-8076.1317599796457</v>
      </c>
    </row>
    <row r="310" spans="1:3">
      <c r="A310" s="1">
        <v>286</v>
      </c>
      <c r="B310" s="1">
        <v>606497.90835689113</v>
      </c>
      <c r="C310" s="1">
        <v>26511.621643108898</v>
      </c>
    </row>
    <row r="311" spans="1:3">
      <c r="A311" s="1">
        <v>287</v>
      </c>
      <c r="B311" s="1">
        <v>594902.54825828306</v>
      </c>
      <c r="C311" s="1">
        <v>15046.451741716941</v>
      </c>
    </row>
    <row r="312" spans="1:3">
      <c r="A312" s="1">
        <v>288</v>
      </c>
      <c r="B312" s="1">
        <v>592476.44214534352</v>
      </c>
      <c r="C312" s="1">
        <v>-44372.742145343567</v>
      </c>
    </row>
    <row r="313" spans="1:3">
      <c r="A313" s="1">
        <v>289</v>
      </c>
      <c r="B313" s="1">
        <v>749102.99855423509</v>
      </c>
      <c r="C313" s="1">
        <v>-19678.57855423505</v>
      </c>
    </row>
    <row r="314" spans="1:3">
      <c r="A314" s="1">
        <v>290</v>
      </c>
      <c r="B314" s="1">
        <v>724485.15711411322</v>
      </c>
      <c r="C314" s="1">
        <v>-28223.667114113225</v>
      </c>
    </row>
    <row r="315" spans="1:3">
      <c r="A315" s="1">
        <v>291</v>
      </c>
      <c r="B315" s="1">
        <v>742538.24083686923</v>
      </c>
      <c r="C315" s="1">
        <v>70778.469163130736</v>
      </c>
    </row>
    <row r="316" spans="1:3">
      <c r="A316" s="1">
        <v>292</v>
      </c>
      <c r="B316" s="1">
        <v>699118.07702146575</v>
      </c>
      <c r="C316" s="1">
        <v>2950.8429785342887</v>
      </c>
    </row>
    <row r="317" spans="1:3">
      <c r="A317" s="1">
        <v>293</v>
      </c>
      <c r="B317" s="1">
        <v>583200.15406645695</v>
      </c>
      <c r="C317" s="1">
        <v>-36976.454066456994</v>
      </c>
    </row>
    <row r="318" spans="1:3">
      <c r="A318" s="1">
        <v>294</v>
      </c>
      <c r="B318" s="1">
        <v>530539.38020323962</v>
      </c>
      <c r="C318" s="1">
        <v>2581.8797967603896</v>
      </c>
    </row>
    <row r="319" spans="1:3">
      <c r="A319" s="1">
        <v>295</v>
      </c>
      <c r="B319" s="1">
        <v>490330.23918437382</v>
      </c>
      <c r="C319" s="1">
        <v>8640.0808156261919</v>
      </c>
    </row>
    <row r="320" spans="1:3">
      <c r="A320" s="1">
        <v>296</v>
      </c>
      <c r="B320" s="1">
        <v>507883.83047211292</v>
      </c>
      <c r="C320" s="1">
        <v>-20145.570472112915</v>
      </c>
    </row>
    <row r="321" spans="1:3">
      <c r="A321" s="1">
        <v>297</v>
      </c>
      <c r="B321" s="1">
        <v>656768.25413824152</v>
      </c>
      <c r="C321" s="1">
        <v>11691.115861758473</v>
      </c>
    </row>
    <row r="322" spans="1:3">
      <c r="A322" s="1">
        <v>298</v>
      </c>
      <c r="B322" s="1">
        <v>657018.00035575009</v>
      </c>
      <c r="C322" s="1">
        <v>106144.44964424986</v>
      </c>
    </row>
    <row r="323" spans="1:3">
      <c r="A323" s="1">
        <v>299</v>
      </c>
      <c r="B323" s="1">
        <v>621161.5791277464</v>
      </c>
      <c r="C323" s="1">
        <v>-22144.249127746443</v>
      </c>
    </row>
    <row r="324" spans="1:3">
      <c r="A324" s="1">
        <v>300</v>
      </c>
      <c r="B324" s="1">
        <v>498571.86436215381</v>
      </c>
      <c r="C324" s="1">
        <v>-96989.28436215379</v>
      </c>
    </row>
    <row r="325" spans="1:3">
      <c r="A325" s="1">
        <v>301</v>
      </c>
      <c r="B325" s="1">
        <v>740825.69534538256</v>
      </c>
      <c r="C325" s="1">
        <v>-37012.705345382565</v>
      </c>
    </row>
    <row r="326" spans="1:3">
      <c r="A326" s="1">
        <v>302</v>
      </c>
      <c r="B326" s="1">
        <v>731442.37317327806</v>
      </c>
      <c r="C326" s="1">
        <v>-7095.6431732780766</v>
      </c>
    </row>
    <row r="327" spans="1:3">
      <c r="A327" s="1">
        <v>303</v>
      </c>
      <c r="B327" s="1">
        <v>741396.54384254478</v>
      </c>
      <c r="C327" s="1">
        <v>-10506.53384254477</v>
      </c>
    </row>
    <row r="328" spans="1:3">
      <c r="A328" s="1">
        <v>304</v>
      </c>
      <c r="B328" s="1">
        <v>738363.9112013703</v>
      </c>
      <c r="C328" s="1">
        <v>42217.038798629656</v>
      </c>
    </row>
    <row r="329" spans="1:3">
      <c r="A329" s="1">
        <v>305</v>
      </c>
      <c r="B329" s="1">
        <v>679530.8379625862</v>
      </c>
      <c r="C329" s="1">
        <v>48426.642037413782</v>
      </c>
    </row>
    <row r="330" spans="1:3">
      <c r="A330" s="1">
        <v>306</v>
      </c>
      <c r="B330" s="1">
        <v>653485.87527955871</v>
      </c>
      <c r="C330" s="1">
        <v>-115109.87527955871</v>
      </c>
    </row>
    <row r="331" spans="1:3">
      <c r="A331" s="1">
        <v>307</v>
      </c>
      <c r="B331" s="1">
        <v>671217.85672266094</v>
      </c>
      <c r="C331" s="1">
        <v>-5875.3667226609541</v>
      </c>
    </row>
    <row r="332" spans="1:3">
      <c r="A332" s="1">
        <v>308</v>
      </c>
      <c r="B332" s="1">
        <v>674714.30376777973</v>
      </c>
      <c r="C332" s="1">
        <v>-23550.123767779674</v>
      </c>
    </row>
    <row r="333" spans="1:3">
      <c r="A333" s="1">
        <v>309</v>
      </c>
      <c r="B333" s="1">
        <v>651880.36388128984</v>
      </c>
      <c r="C333" s="1">
        <v>-23342.063881289796</v>
      </c>
    </row>
    <row r="334" spans="1:3">
      <c r="A334" s="1">
        <v>310</v>
      </c>
      <c r="B334" s="1">
        <v>634968.97715285828</v>
      </c>
      <c r="C334" s="1">
        <v>-98444.137152858311</v>
      </c>
    </row>
    <row r="335" spans="1:3">
      <c r="A335" s="1">
        <v>311</v>
      </c>
      <c r="B335" s="1">
        <v>640285.00378268166</v>
      </c>
      <c r="C335" s="1">
        <v>-18607.703782681609</v>
      </c>
    </row>
    <row r="336" spans="1:3">
      <c r="A336" s="1">
        <v>312</v>
      </c>
      <c r="B336" s="1">
        <v>713246.5773262314</v>
      </c>
      <c r="C336" s="1">
        <v>57882.492673768546</v>
      </c>
    </row>
    <row r="337" spans="1:3">
      <c r="A337" s="1">
        <v>313</v>
      </c>
      <c r="B337" s="1">
        <v>666329.96646570927</v>
      </c>
      <c r="C337" s="1">
        <v>35722.503534290707</v>
      </c>
    </row>
    <row r="338" spans="1:3">
      <c r="A338" s="1">
        <v>314</v>
      </c>
      <c r="B338" s="1">
        <v>730871.52467611583</v>
      </c>
      <c r="C338" s="1">
        <v>-42503.064676115871</v>
      </c>
    </row>
    <row r="339" spans="1:3">
      <c r="A339" s="1">
        <v>315</v>
      </c>
      <c r="B339" s="1">
        <v>660478.76936979615</v>
      </c>
      <c r="C339" s="1">
        <v>51897.000630203867</v>
      </c>
    </row>
    <row r="340" spans="1:3">
      <c r="A340" s="1">
        <v>316</v>
      </c>
      <c r="B340" s="1">
        <v>802013.51863496087</v>
      </c>
      <c r="C340" s="1">
        <v>42697.151365039172</v>
      </c>
    </row>
    <row r="341" spans="1:3">
      <c r="A341" s="1">
        <v>317</v>
      </c>
      <c r="B341" s="1">
        <v>647599.00015257299</v>
      </c>
      <c r="C341" s="1">
        <v>-27334.800152573036</v>
      </c>
    </row>
    <row r="342" spans="1:3">
      <c r="A342" s="1">
        <v>318</v>
      </c>
      <c r="B342" s="1">
        <v>570070.63863172522</v>
      </c>
      <c r="C342" s="1">
        <v>-33225.218631725176</v>
      </c>
    </row>
    <row r="343" spans="1:3">
      <c r="A343" s="1">
        <v>319</v>
      </c>
      <c r="B343" s="1">
        <v>723807.27452373295</v>
      </c>
      <c r="C343" s="1">
        <v>2968.9454762670211</v>
      </c>
    </row>
    <row r="344" spans="1:3" ht="14.4" thickBot="1">
      <c r="A344" s="5">
        <v>320</v>
      </c>
      <c r="B344" s="5">
        <v>636110.67414718273</v>
      </c>
      <c r="C344" s="5">
        <v>-76449.834147182759</v>
      </c>
    </row>
  </sheetData>
  <mergeCells count="1">
    <mergeCell ref="A1:I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8032-37C2-A041-8150-EC08CF874C1D}">
  <dimension ref="A1:N321"/>
  <sheetViews>
    <sheetView workbookViewId="0">
      <selection sqref="A1:C321"/>
    </sheetView>
  </sheetViews>
  <sheetFormatPr defaultColWidth="11.19921875" defaultRowHeight="13.8"/>
  <cols>
    <col min="3" max="3" width="10.5" bestFit="1" customWidth="1"/>
    <col min="4" max="4" width="10.19921875" bestFit="1" customWidth="1"/>
    <col min="6" max="6" width="10.19921875" bestFit="1" customWidth="1"/>
    <col min="7" max="8" width="10.5" bestFit="1" customWidth="1"/>
  </cols>
  <sheetData>
    <row r="1" spans="1:14" ht="41.4">
      <c r="A1" s="2" t="s">
        <v>0</v>
      </c>
      <c r="B1" s="2" t="s">
        <v>1</v>
      </c>
      <c r="C1" s="2" t="s">
        <v>12</v>
      </c>
      <c r="D1" s="2" t="s">
        <v>4</v>
      </c>
      <c r="E1" s="2" t="s">
        <v>5</v>
      </c>
      <c r="F1" s="2" t="s">
        <v>6</v>
      </c>
      <c r="G1" s="2" t="s">
        <v>8</v>
      </c>
      <c r="H1" s="9" t="s">
        <v>11</v>
      </c>
      <c r="I1" t="s">
        <v>145</v>
      </c>
      <c r="J1" t="s">
        <v>144</v>
      </c>
      <c r="K1" t="s">
        <v>149</v>
      </c>
      <c r="L1" t="s">
        <v>146</v>
      </c>
      <c r="M1" t="s">
        <v>147</v>
      </c>
      <c r="N1" t="s">
        <v>148</v>
      </c>
    </row>
    <row r="2" spans="1:14">
      <c r="A2" t="s">
        <v>14</v>
      </c>
      <c r="B2" s="3">
        <v>45658</v>
      </c>
      <c r="C2">
        <v>658832.62</v>
      </c>
      <c r="D2">
        <v>70389.11</v>
      </c>
      <c r="E2">
        <v>8302</v>
      </c>
      <c r="F2">
        <v>4.2000000000000003E-2</v>
      </c>
      <c r="G2">
        <v>0.75</v>
      </c>
      <c r="H2" s="1">
        <v>3.1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</row>
    <row r="3" spans="1:14">
      <c r="A3" t="s">
        <v>14</v>
      </c>
      <c r="B3" s="3">
        <v>45689</v>
      </c>
      <c r="C3">
        <v>634436</v>
      </c>
      <c r="D3">
        <v>43827.89</v>
      </c>
      <c r="E3">
        <v>8487</v>
      </c>
      <c r="F3">
        <v>0.16800000000000001</v>
      </c>
      <c r="G3">
        <v>0.84400000000000008</v>
      </c>
      <c r="H3" s="1">
        <v>2.8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</row>
    <row r="4" spans="1:14">
      <c r="A4" t="s">
        <v>14</v>
      </c>
      <c r="B4" s="3">
        <v>45717</v>
      </c>
      <c r="C4">
        <v>678722.06</v>
      </c>
      <c r="D4">
        <v>59921.75</v>
      </c>
      <c r="E4">
        <v>9113</v>
      </c>
      <c r="F4">
        <v>0.13300000000000001</v>
      </c>
      <c r="G4">
        <v>0.88</v>
      </c>
      <c r="H4" s="1">
        <v>3.2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</row>
    <row r="5" spans="1:14">
      <c r="A5" t="s">
        <v>14</v>
      </c>
      <c r="B5" s="3">
        <v>45748</v>
      </c>
      <c r="C5">
        <v>658920.30000000005</v>
      </c>
      <c r="D5">
        <v>56856.63</v>
      </c>
      <c r="E5">
        <v>9431</v>
      </c>
      <c r="F5">
        <v>0.14199999999999999</v>
      </c>
      <c r="G5">
        <v>0.86900000000000011</v>
      </c>
      <c r="H5" s="1">
        <v>3.4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</row>
    <row r="6" spans="1:14">
      <c r="A6" t="s">
        <v>17</v>
      </c>
      <c r="B6" s="3">
        <v>45658</v>
      </c>
      <c r="C6">
        <v>741341.44</v>
      </c>
      <c r="D6">
        <v>48412.639999999999</v>
      </c>
      <c r="E6">
        <v>9545</v>
      </c>
      <c r="F6">
        <v>0.23100000000000001</v>
      </c>
      <c r="G6">
        <v>0.97599999999999998</v>
      </c>
      <c r="H6" s="1">
        <v>4.2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</row>
    <row r="7" spans="1:14">
      <c r="A7" t="s">
        <v>17</v>
      </c>
      <c r="B7" s="3">
        <v>45689</v>
      </c>
      <c r="C7">
        <v>761835.34</v>
      </c>
      <c r="D7">
        <v>64811.21</v>
      </c>
      <c r="E7">
        <v>9792</v>
      </c>
      <c r="F7">
        <v>0.112</v>
      </c>
      <c r="G7">
        <v>0.84200000000000008</v>
      </c>
      <c r="H7" s="1">
        <v>4.2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</row>
    <row r="8" spans="1:14">
      <c r="A8" t="s">
        <v>17</v>
      </c>
      <c r="B8" s="3">
        <v>45717</v>
      </c>
      <c r="C8">
        <v>806615.54</v>
      </c>
      <c r="D8">
        <v>46213.45</v>
      </c>
      <c r="E8">
        <v>10616</v>
      </c>
      <c r="F8">
        <v>0.122</v>
      </c>
      <c r="G8">
        <v>0.85199999999999998</v>
      </c>
      <c r="H8" s="1">
        <v>4.0999999999999996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</row>
    <row r="9" spans="1:14">
      <c r="A9" t="s">
        <v>17</v>
      </c>
      <c r="B9" s="3">
        <v>45748</v>
      </c>
      <c r="C9">
        <v>850164.26</v>
      </c>
      <c r="D9">
        <v>68148.52</v>
      </c>
      <c r="E9">
        <v>8567</v>
      </c>
      <c r="F9">
        <v>0.127</v>
      </c>
      <c r="G9">
        <v>0.95599999999999996</v>
      </c>
      <c r="H9" s="1">
        <v>3.9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</row>
    <row r="10" spans="1:14">
      <c r="A10" t="s">
        <v>19</v>
      </c>
      <c r="B10" s="3">
        <v>45658</v>
      </c>
      <c r="C10">
        <v>930581.7</v>
      </c>
      <c r="D10">
        <v>71838.86</v>
      </c>
      <c r="E10">
        <v>10979</v>
      </c>
      <c r="F10">
        <v>0.215</v>
      </c>
      <c r="G10">
        <v>0.8859999999999999</v>
      </c>
      <c r="H10" s="1">
        <v>3.8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</row>
    <row r="11" spans="1:14">
      <c r="A11" t="s">
        <v>19</v>
      </c>
      <c r="B11" s="3">
        <v>45689</v>
      </c>
      <c r="C11">
        <v>779010.94</v>
      </c>
      <c r="D11">
        <v>68133.440000000002</v>
      </c>
      <c r="E11">
        <v>9459</v>
      </c>
      <c r="F11">
        <v>0.22</v>
      </c>
      <c r="G11">
        <v>0.85</v>
      </c>
      <c r="H11" s="1">
        <v>4.2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</row>
    <row r="12" spans="1:14">
      <c r="A12" t="s">
        <v>19</v>
      </c>
      <c r="B12" s="3">
        <v>45717</v>
      </c>
      <c r="C12">
        <v>723060.76</v>
      </c>
      <c r="D12">
        <v>34285.21</v>
      </c>
      <c r="E12">
        <v>9172</v>
      </c>
      <c r="F12">
        <v>0.21299999999999999</v>
      </c>
      <c r="G12">
        <v>0.88300000000000001</v>
      </c>
      <c r="H12" s="1">
        <v>3.8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</row>
    <row r="13" spans="1:14">
      <c r="A13" t="s">
        <v>19</v>
      </c>
      <c r="B13" s="3">
        <v>45748</v>
      </c>
      <c r="C13">
        <v>910791.94</v>
      </c>
      <c r="D13">
        <v>67979.88</v>
      </c>
      <c r="E13">
        <v>11230</v>
      </c>
      <c r="F13">
        <v>2E-3</v>
      </c>
      <c r="G13">
        <v>0.85299999999999998</v>
      </c>
      <c r="H13" s="1">
        <v>3.8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</row>
    <row r="14" spans="1:14">
      <c r="A14" t="s">
        <v>22</v>
      </c>
      <c r="B14" s="3">
        <v>45658</v>
      </c>
      <c r="C14">
        <v>922168.6</v>
      </c>
      <c r="D14">
        <v>71828.259999999995</v>
      </c>
      <c r="E14">
        <v>12775</v>
      </c>
      <c r="F14">
        <v>0.11600000000000001</v>
      </c>
      <c r="G14">
        <v>0.81700000000000006</v>
      </c>
      <c r="H14" s="1">
        <v>4.2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  <row r="15" spans="1:14">
      <c r="A15" t="s">
        <v>22</v>
      </c>
      <c r="B15" s="3">
        <v>45689</v>
      </c>
      <c r="C15">
        <v>726606.28</v>
      </c>
      <c r="D15">
        <v>55716.82</v>
      </c>
      <c r="E15">
        <v>10054</v>
      </c>
      <c r="F15">
        <v>0.14599999999999999</v>
      </c>
      <c r="G15">
        <v>0.84900000000000009</v>
      </c>
      <c r="H15" s="1">
        <v>4.3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</row>
    <row r="16" spans="1:14">
      <c r="A16" t="s">
        <v>22</v>
      </c>
      <c r="B16" s="3">
        <v>45717</v>
      </c>
      <c r="C16">
        <v>746501.09</v>
      </c>
      <c r="D16">
        <v>59909.51</v>
      </c>
      <c r="E16">
        <v>8895</v>
      </c>
      <c r="F16">
        <v>0.22800000000000001</v>
      </c>
      <c r="G16">
        <v>0.88800000000000001</v>
      </c>
      <c r="H16" s="1">
        <v>4.3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</row>
    <row r="17" spans="1:14">
      <c r="A17" t="s">
        <v>22</v>
      </c>
      <c r="B17" s="3">
        <v>45748</v>
      </c>
      <c r="C17">
        <v>834017.02</v>
      </c>
      <c r="D17">
        <v>75305.710000000006</v>
      </c>
      <c r="E17">
        <v>10940</v>
      </c>
      <c r="F17">
        <v>6.0000000000000001E-3</v>
      </c>
      <c r="G17">
        <v>0.76500000000000001</v>
      </c>
      <c r="H17" s="1">
        <v>4.5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</row>
    <row r="18" spans="1:14">
      <c r="A18" t="s">
        <v>23</v>
      </c>
      <c r="B18" s="3">
        <v>45658</v>
      </c>
      <c r="C18">
        <v>666152.52</v>
      </c>
      <c r="D18">
        <v>48804.22</v>
      </c>
      <c r="E18">
        <v>7057</v>
      </c>
      <c r="F18">
        <v>5.0000000000000001E-3</v>
      </c>
      <c r="G18">
        <v>0.877</v>
      </c>
      <c r="H18" s="1">
        <v>3.7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</row>
    <row r="19" spans="1:14">
      <c r="A19" t="s">
        <v>23</v>
      </c>
      <c r="B19" s="3">
        <v>45689</v>
      </c>
      <c r="C19">
        <v>573155.18999999994</v>
      </c>
      <c r="D19">
        <v>59117.9</v>
      </c>
      <c r="E19">
        <v>4263</v>
      </c>
      <c r="F19">
        <v>0.11899999999999999</v>
      </c>
      <c r="G19">
        <v>0.87599999999999989</v>
      </c>
      <c r="H19" s="1">
        <v>3.6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</row>
    <row r="20" spans="1:14">
      <c r="A20" t="s">
        <v>23</v>
      </c>
      <c r="B20" s="3">
        <v>45717</v>
      </c>
      <c r="C20">
        <v>666573.19999999995</v>
      </c>
      <c r="D20">
        <v>78831.12</v>
      </c>
      <c r="E20">
        <v>5538</v>
      </c>
      <c r="F20">
        <v>0</v>
      </c>
      <c r="G20">
        <v>0.94099999999999995</v>
      </c>
      <c r="H20" s="1">
        <v>3.9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</row>
    <row r="21" spans="1:14">
      <c r="A21" t="s">
        <v>23</v>
      </c>
      <c r="B21" s="3">
        <v>45748</v>
      </c>
      <c r="C21">
        <v>591619.94999999995</v>
      </c>
      <c r="D21">
        <v>41441.93</v>
      </c>
      <c r="E21">
        <v>4865</v>
      </c>
      <c r="F21">
        <v>0.158</v>
      </c>
      <c r="G21">
        <v>0.88300000000000001</v>
      </c>
      <c r="H21" s="1">
        <v>4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</row>
    <row r="22" spans="1:14">
      <c r="A22" t="s">
        <v>25</v>
      </c>
      <c r="B22" s="3">
        <v>45658</v>
      </c>
      <c r="C22">
        <v>415721.82</v>
      </c>
      <c r="D22">
        <v>30356.28</v>
      </c>
      <c r="E22">
        <v>2822</v>
      </c>
      <c r="F22">
        <v>0.23100000000000001</v>
      </c>
      <c r="G22">
        <v>0.84799999999999998</v>
      </c>
      <c r="H22" s="1">
        <v>5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</row>
    <row r="23" spans="1:14">
      <c r="A23" t="s">
        <v>25</v>
      </c>
      <c r="B23" s="3">
        <v>45689</v>
      </c>
      <c r="C23">
        <v>491905.13</v>
      </c>
      <c r="D23">
        <v>33518.879999999997</v>
      </c>
      <c r="E23">
        <v>2121</v>
      </c>
      <c r="F23">
        <v>0.17599999999999999</v>
      </c>
      <c r="G23">
        <v>0.88500000000000001</v>
      </c>
      <c r="H23" s="1">
        <v>5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</row>
    <row r="24" spans="1:14">
      <c r="A24" t="s">
        <v>25</v>
      </c>
      <c r="B24" s="3">
        <v>45717</v>
      </c>
      <c r="C24">
        <v>555929.4</v>
      </c>
      <c r="D24">
        <v>42267.37</v>
      </c>
      <c r="E24">
        <v>3364</v>
      </c>
      <c r="F24">
        <v>0.16</v>
      </c>
      <c r="G24">
        <v>0.82</v>
      </c>
      <c r="H24" s="1">
        <v>4.5999999999999996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</row>
    <row r="25" spans="1:14">
      <c r="A25" t="s">
        <v>25</v>
      </c>
      <c r="B25" s="3">
        <v>45748</v>
      </c>
      <c r="C25">
        <v>565810.99</v>
      </c>
      <c r="D25">
        <v>62060.43</v>
      </c>
      <c r="E25">
        <v>2613</v>
      </c>
      <c r="F25">
        <v>0.216</v>
      </c>
      <c r="G25">
        <v>0.92099999999999993</v>
      </c>
      <c r="H25" s="1">
        <v>4.7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</row>
    <row r="26" spans="1:14">
      <c r="A26" t="s">
        <v>26</v>
      </c>
      <c r="B26" s="3">
        <v>45658</v>
      </c>
      <c r="C26">
        <v>811771.14</v>
      </c>
      <c r="D26">
        <v>57696.69</v>
      </c>
      <c r="E26">
        <v>10218</v>
      </c>
      <c r="F26">
        <v>0.121</v>
      </c>
      <c r="G26">
        <v>0.94799999999999995</v>
      </c>
      <c r="H26" s="1">
        <v>3.5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26</v>
      </c>
      <c r="B27" s="3">
        <v>45689</v>
      </c>
      <c r="C27">
        <v>800451.94</v>
      </c>
      <c r="D27">
        <v>172415.52</v>
      </c>
      <c r="E27">
        <v>8927</v>
      </c>
      <c r="F27">
        <v>0.14000000000000001</v>
      </c>
      <c r="G27">
        <v>0.86199999999999999</v>
      </c>
      <c r="H27" s="1">
        <v>3.9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26</v>
      </c>
      <c r="B28" s="3">
        <v>45717</v>
      </c>
      <c r="C28">
        <v>783672.82</v>
      </c>
      <c r="D28">
        <v>55270.52</v>
      </c>
      <c r="E28">
        <v>9315</v>
      </c>
      <c r="F28">
        <v>0.16900000000000001</v>
      </c>
      <c r="G28">
        <v>0.91900000000000004</v>
      </c>
      <c r="H28" s="1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26</v>
      </c>
      <c r="B29" s="3">
        <v>45748</v>
      </c>
      <c r="C29">
        <v>701641.97</v>
      </c>
      <c r="D29">
        <v>52715.1</v>
      </c>
      <c r="E29">
        <v>7223</v>
      </c>
      <c r="F29">
        <v>0.122</v>
      </c>
      <c r="G29">
        <v>0.84200000000000008</v>
      </c>
      <c r="H29" s="1">
        <v>3.7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29</v>
      </c>
      <c r="B30" s="3">
        <v>45658</v>
      </c>
      <c r="C30">
        <v>511844.41</v>
      </c>
      <c r="D30">
        <v>68600.62</v>
      </c>
      <c r="E30">
        <v>3988</v>
      </c>
      <c r="F30">
        <v>0.124</v>
      </c>
      <c r="G30">
        <v>0.85</v>
      </c>
      <c r="H30" s="1">
        <v>3.6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</row>
    <row r="31" spans="1:14">
      <c r="A31" t="s">
        <v>29</v>
      </c>
      <c r="B31" s="3">
        <v>45689</v>
      </c>
      <c r="C31">
        <v>537383.79</v>
      </c>
      <c r="D31">
        <v>63176.73</v>
      </c>
      <c r="E31">
        <v>2390</v>
      </c>
      <c r="F31">
        <v>0.216</v>
      </c>
      <c r="G31">
        <v>0.875</v>
      </c>
      <c r="H31" s="1">
        <v>3.1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</row>
    <row r="32" spans="1:14">
      <c r="A32" t="s">
        <v>29</v>
      </c>
      <c r="B32" s="3">
        <v>45717</v>
      </c>
      <c r="C32">
        <v>500173.02</v>
      </c>
      <c r="D32">
        <v>44970.080000000002</v>
      </c>
      <c r="E32">
        <v>2471</v>
      </c>
      <c r="F32">
        <v>0.13600000000000001</v>
      </c>
      <c r="G32">
        <v>0.87599999999999989</v>
      </c>
      <c r="H32" s="1">
        <v>3.7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</row>
    <row r="33" spans="1:14">
      <c r="A33" t="s">
        <v>29</v>
      </c>
      <c r="B33" s="3">
        <v>45748</v>
      </c>
      <c r="C33">
        <v>427917.38</v>
      </c>
      <c r="D33">
        <v>69816.350000000006</v>
      </c>
      <c r="E33">
        <v>971</v>
      </c>
      <c r="F33">
        <v>0.16800000000000001</v>
      </c>
      <c r="G33">
        <v>0.89900000000000002</v>
      </c>
      <c r="H33" s="1">
        <v>3.6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</row>
    <row r="34" spans="1:14">
      <c r="A34" t="s">
        <v>30</v>
      </c>
      <c r="B34" s="3">
        <v>45658</v>
      </c>
      <c r="C34">
        <v>641865.03</v>
      </c>
      <c r="D34">
        <v>54597.83</v>
      </c>
      <c r="E34">
        <v>9429</v>
      </c>
      <c r="F34">
        <v>0.188</v>
      </c>
      <c r="G34">
        <v>0.83299999999999996</v>
      </c>
      <c r="H34" s="1">
        <v>4.2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</row>
    <row r="35" spans="1:14">
      <c r="A35" t="s">
        <v>30</v>
      </c>
      <c r="B35" s="3">
        <v>45689</v>
      </c>
      <c r="C35">
        <v>799477.76000000001</v>
      </c>
      <c r="D35">
        <v>73771.91</v>
      </c>
      <c r="E35">
        <v>11695</v>
      </c>
      <c r="F35">
        <v>7.0000000000000007E-2</v>
      </c>
      <c r="G35">
        <v>0.84699999999999998</v>
      </c>
      <c r="H35" s="10">
        <v>3.92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</row>
    <row r="36" spans="1:14">
      <c r="A36" t="s">
        <v>30</v>
      </c>
      <c r="B36" s="3">
        <v>45717</v>
      </c>
      <c r="C36">
        <v>798952.17</v>
      </c>
      <c r="D36">
        <v>74413.88</v>
      </c>
      <c r="E36">
        <v>9449</v>
      </c>
      <c r="F36">
        <v>3.9E-2</v>
      </c>
      <c r="G36">
        <v>0.92099999999999993</v>
      </c>
      <c r="H36" s="1">
        <v>3.5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</row>
    <row r="37" spans="1:14">
      <c r="A37" t="s">
        <v>30</v>
      </c>
      <c r="B37" s="3">
        <v>45748</v>
      </c>
      <c r="C37">
        <v>800979.78</v>
      </c>
      <c r="D37">
        <v>52483.77</v>
      </c>
      <c r="E37">
        <v>10453</v>
      </c>
      <c r="F37">
        <v>0.247</v>
      </c>
      <c r="G37">
        <v>0.99</v>
      </c>
      <c r="H37" s="1">
        <v>3.6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</row>
    <row r="38" spans="1:14">
      <c r="A38" t="s">
        <v>31</v>
      </c>
      <c r="B38" s="3">
        <v>45658</v>
      </c>
      <c r="C38">
        <v>820593.93</v>
      </c>
      <c r="D38">
        <v>75269.87</v>
      </c>
      <c r="E38">
        <v>8838</v>
      </c>
      <c r="F38">
        <v>9.1999999999999998E-2</v>
      </c>
      <c r="G38">
        <v>0.83099999999999996</v>
      </c>
      <c r="H38" s="1">
        <v>4.2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</row>
    <row r="39" spans="1:14">
      <c r="A39" t="s">
        <v>31</v>
      </c>
      <c r="B39" s="3">
        <v>45689</v>
      </c>
      <c r="C39">
        <v>718330.53</v>
      </c>
      <c r="D39">
        <v>61245.41</v>
      </c>
      <c r="E39">
        <v>8156</v>
      </c>
      <c r="F39">
        <v>0.156</v>
      </c>
      <c r="G39">
        <v>0.92900000000000005</v>
      </c>
      <c r="H39" s="1">
        <v>3.8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>
      <c r="A40" t="s">
        <v>31</v>
      </c>
      <c r="B40" s="3">
        <v>45717</v>
      </c>
      <c r="C40">
        <v>736633.4</v>
      </c>
      <c r="D40">
        <v>93381.26</v>
      </c>
      <c r="E40">
        <v>7562</v>
      </c>
      <c r="F40">
        <v>0.19800000000000001</v>
      </c>
      <c r="G40">
        <v>0.82900000000000007</v>
      </c>
      <c r="H40" s="1">
        <v>4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</row>
    <row r="41" spans="1:14">
      <c r="A41" t="s">
        <v>31</v>
      </c>
      <c r="B41" s="3">
        <v>45748</v>
      </c>
      <c r="C41">
        <v>828623.85</v>
      </c>
      <c r="D41">
        <v>65012.19</v>
      </c>
      <c r="E41">
        <v>9598</v>
      </c>
      <c r="F41">
        <v>8.5000000000000006E-2</v>
      </c>
      <c r="G41">
        <v>0.98299999999999998</v>
      </c>
      <c r="H41" s="1">
        <v>3.8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</row>
    <row r="42" spans="1:14">
      <c r="A42" t="s">
        <v>32</v>
      </c>
      <c r="B42" s="3">
        <v>45658</v>
      </c>
      <c r="C42">
        <v>592195.85</v>
      </c>
      <c r="D42">
        <v>40462.94</v>
      </c>
      <c r="E42">
        <v>3660</v>
      </c>
      <c r="F42">
        <v>0.218</v>
      </c>
      <c r="G42">
        <v>0.95200000000000007</v>
      </c>
      <c r="H42" s="1">
        <v>4.4000000000000004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32</v>
      </c>
      <c r="B43" s="3">
        <v>45689</v>
      </c>
      <c r="C43">
        <v>532644.46</v>
      </c>
      <c r="D43">
        <v>46123.88</v>
      </c>
      <c r="E43">
        <v>3227</v>
      </c>
      <c r="F43">
        <v>0.14299999999999999</v>
      </c>
      <c r="G43">
        <v>0.754</v>
      </c>
      <c r="H43" s="1">
        <v>4.4000000000000004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32</v>
      </c>
      <c r="B44" s="3">
        <v>45717</v>
      </c>
      <c r="C44">
        <v>657429.18000000005</v>
      </c>
      <c r="D44">
        <v>68077.539999999994</v>
      </c>
      <c r="E44">
        <v>3360</v>
      </c>
      <c r="F44">
        <v>0.128</v>
      </c>
      <c r="G44">
        <v>0.88200000000000001</v>
      </c>
      <c r="H44" s="1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32</v>
      </c>
      <c r="B45" s="3">
        <v>45748</v>
      </c>
      <c r="C45">
        <v>605178</v>
      </c>
      <c r="D45">
        <v>64882.14</v>
      </c>
      <c r="E45">
        <v>3642</v>
      </c>
      <c r="F45">
        <v>1.9E-2</v>
      </c>
      <c r="G45">
        <v>0.878</v>
      </c>
      <c r="H45" s="1">
        <v>4.2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33</v>
      </c>
      <c r="B46" s="3">
        <v>45658</v>
      </c>
      <c r="C46">
        <v>595467.6</v>
      </c>
      <c r="D46">
        <v>138855.51</v>
      </c>
      <c r="E46">
        <v>5145</v>
      </c>
      <c r="F46">
        <v>0.06</v>
      </c>
      <c r="G46">
        <v>0.88200000000000001</v>
      </c>
      <c r="H46" s="1">
        <v>3.2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</row>
    <row r="47" spans="1:14">
      <c r="A47" t="s">
        <v>33</v>
      </c>
      <c r="B47" s="3">
        <v>45689</v>
      </c>
      <c r="C47">
        <v>599603.4</v>
      </c>
      <c r="D47">
        <v>63630.21</v>
      </c>
      <c r="E47">
        <v>4460</v>
      </c>
      <c r="F47">
        <v>0.23499999999999999</v>
      </c>
      <c r="G47">
        <v>0.98599999999999999</v>
      </c>
      <c r="H47" s="1">
        <v>3.5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</row>
    <row r="48" spans="1:14">
      <c r="A48" t="s">
        <v>33</v>
      </c>
      <c r="B48" s="3">
        <v>45717</v>
      </c>
      <c r="C48">
        <v>614800.09</v>
      </c>
      <c r="D48">
        <v>50043.65</v>
      </c>
      <c r="E48">
        <v>3804</v>
      </c>
      <c r="F48">
        <v>0.113</v>
      </c>
      <c r="G48">
        <v>0.90900000000000003</v>
      </c>
      <c r="H48" s="1">
        <v>3.2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</row>
    <row r="49" spans="1:14">
      <c r="A49" t="s">
        <v>33</v>
      </c>
      <c r="B49" s="3">
        <v>45748</v>
      </c>
      <c r="C49">
        <v>585365.73</v>
      </c>
      <c r="D49">
        <v>42093.84</v>
      </c>
      <c r="E49">
        <v>4074</v>
      </c>
      <c r="F49">
        <v>0.155</v>
      </c>
      <c r="G49">
        <v>0.88</v>
      </c>
      <c r="H49" s="1">
        <v>3.3</v>
      </c>
      <c r="I49">
        <v>1</v>
      </c>
      <c r="J49">
        <v>0</v>
      </c>
      <c r="K49">
        <v>0</v>
      </c>
      <c r="L49">
        <v>0</v>
      </c>
      <c r="M49">
        <v>1</v>
      </c>
      <c r="N49">
        <v>0</v>
      </c>
    </row>
    <row r="50" spans="1:14">
      <c r="A50" t="s">
        <v>34</v>
      </c>
      <c r="B50" s="3">
        <v>45658</v>
      </c>
      <c r="C50">
        <v>622811.74</v>
      </c>
      <c r="D50">
        <v>46624.05</v>
      </c>
      <c r="E50">
        <v>5104</v>
      </c>
      <c r="F50">
        <v>0.109</v>
      </c>
      <c r="G50">
        <v>0.97299999999999998</v>
      </c>
      <c r="H50" s="1">
        <v>4.7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</row>
    <row r="51" spans="1:14">
      <c r="A51" t="s">
        <v>34</v>
      </c>
      <c r="B51" s="3">
        <v>45689</v>
      </c>
      <c r="C51">
        <v>603297.56999999995</v>
      </c>
      <c r="D51">
        <v>49710.29</v>
      </c>
      <c r="E51">
        <v>5559</v>
      </c>
      <c r="F51">
        <v>0.218</v>
      </c>
      <c r="G51">
        <v>0.71</v>
      </c>
      <c r="H51" s="1">
        <v>4.5999999999999996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</row>
    <row r="52" spans="1:14">
      <c r="A52" t="s">
        <v>34</v>
      </c>
      <c r="B52" s="3">
        <v>45717</v>
      </c>
      <c r="C52">
        <v>625672.86</v>
      </c>
      <c r="D52">
        <v>48287.85</v>
      </c>
      <c r="E52">
        <v>5150</v>
      </c>
      <c r="F52">
        <v>8.0000000000000002E-3</v>
      </c>
      <c r="G52">
        <v>0.80400000000000005</v>
      </c>
      <c r="H52" s="1">
        <v>4.5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>
      <c r="A53" t="s">
        <v>34</v>
      </c>
      <c r="B53" s="3">
        <v>45748</v>
      </c>
      <c r="C53">
        <v>773815.14</v>
      </c>
      <c r="D53">
        <v>65312.49</v>
      </c>
      <c r="E53">
        <v>7189</v>
      </c>
      <c r="F53">
        <v>0.05</v>
      </c>
      <c r="G53">
        <v>0.93700000000000006</v>
      </c>
      <c r="H53" s="1">
        <v>4.5999999999999996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</row>
    <row r="54" spans="1:14">
      <c r="A54" t="s">
        <v>35</v>
      </c>
      <c r="B54" s="3">
        <v>45658</v>
      </c>
      <c r="C54">
        <v>463534.25</v>
      </c>
      <c r="D54">
        <v>53015.46</v>
      </c>
      <c r="E54">
        <v>3279</v>
      </c>
      <c r="F54">
        <v>8.6999999999999994E-2</v>
      </c>
      <c r="G54">
        <v>0.84299999999999997</v>
      </c>
      <c r="H54" s="1">
        <v>3.9</v>
      </c>
      <c r="I54">
        <v>1</v>
      </c>
      <c r="J54">
        <v>0</v>
      </c>
      <c r="K54">
        <v>0</v>
      </c>
      <c r="L54">
        <v>1</v>
      </c>
      <c r="M54">
        <v>0</v>
      </c>
      <c r="N54">
        <v>0</v>
      </c>
    </row>
    <row r="55" spans="1:14">
      <c r="A55" t="s">
        <v>35</v>
      </c>
      <c r="B55" s="3">
        <v>45689</v>
      </c>
      <c r="C55">
        <v>746677.75</v>
      </c>
      <c r="D55">
        <v>99874.01</v>
      </c>
      <c r="E55">
        <v>5887</v>
      </c>
      <c r="F55">
        <v>0.26200000000000001</v>
      </c>
      <c r="G55">
        <v>0.88700000000000001</v>
      </c>
      <c r="H55" s="1">
        <v>4.7</v>
      </c>
      <c r="I55">
        <v>1</v>
      </c>
      <c r="J55">
        <v>0</v>
      </c>
      <c r="K55">
        <v>0</v>
      </c>
      <c r="L55">
        <v>1</v>
      </c>
      <c r="M55">
        <v>0</v>
      </c>
      <c r="N55">
        <v>0</v>
      </c>
    </row>
    <row r="56" spans="1:14">
      <c r="A56" t="s">
        <v>35</v>
      </c>
      <c r="B56" s="3">
        <v>45717</v>
      </c>
      <c r="C56">
        <v>720852.5</v>
      </c>
      <c r="D56">
        <v>81195.5</v>
      </c>
      <c r="E56">
        <v>5516</v>
      </c>
      <c r="F56">
        <v>0.106</v>
      </c>
      <c r="G56">
        <v>0.88</v>
      </c>
      <c r="H56" s="1">
        <v>4.3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</row>
    <row r="57" spans="1:14">
      <c r="A57" t="s">
        <v>35</v>
      </c>
      <c r="B57" s="3">
        <v>45748</v>
      </c>
      <c r="C57">
        <v>487464.91</v>
      </c>
      <c r="D57">
        <v>27808.6</v>
      </c>
      <c r="E57">
        <v>2863</v>
      </c>
      <c r="F57">
        <v>0.08</v>
      </c>
      <c r="G57">
        <v>0.89300000000000002</v>
      </c>
      <c r="H57" s="1">
        <v>4.0999999999999996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</row>
    <row r="58" spans="1:14">
      <c r="A58" t="s">
        <v>36</v>
      </c>
      <c r="B58" s="3">
        <v>45658</v>
      </c>
      <c r="C58">
        <v>518049.26</v>
      </c>
      <c r="D58">
        <v>19365.060000000001</v>
      </c>
      <c r="E58">
        <v>2378</v>
      </c>
      <c r="F58">
        <v>0</v>
      </c>
      <c r="G58">
        <v>0.94799999999999995</v>
      </c>
      <c r="H58" s="1">
        <v>3.5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</row>
    <row r="59" spans="1:14">
      <c r="A59" t="s">
        <v>36</v>
      </c>
      <c r="B59" s="3">
        <v>45689</v>
      </c>
      <c r="C59">
        <v>500298.48</v>
      </c>
      <c r="D59">
        <v>59405.68</v>
      </c>
      <c r="E59">
        <v>2515</v>
      </c>
      <c r="F59">
        <v>3.9E-2</v>
      </c>
      <c r="G59">
        <v>0.76</v>
      </c>
      <c r="H59" s="1">
        <v>3.7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</row>
    <row r="60" spans="1:14">
      <c r="A60" t="s">
        <v>36</v>
      </c>
      <c r="B60" s="3">
        <v>45717</v>
      </c>
      <c r="C60">
        <v>617291.15</v>
      </c>
      <c r="D60">
        <v>118910.48</v>
      </c>
      <c r="E60">
        <v>4022</v>
      </c>
      <c r="F60">
        <v>0.13700000000000001</v>
      </c>
      <c r="G60">
        <v>0.871</v>
      </c>
      <c r="H60" s="1">
        <v>3.1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</row>
    <row r="61" spans="1:14">
      <c r="A61" t="s">
        <v>36</v>
      </c>
      <c r="B61" s="3">
        <v>45748</v>
      </c>
      <c r="C61">
        <v>553756.43000000005</v>
      </c>
      <c r="D61">
        <v>52952.12</v>
      </c>
      <c r="E61">
        <v>4377</v>
      </c>
      <c r="F61">
        <v>9.1999999999999998E-2</v>
      </c>
      <c r="G61">
        <v>0.8859999999999999</v>
      </c>
      <c r="H61" s="1">
        <v>3.1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</row>
    <row r="62" spans="1:14">
      <c r="A62" t="s">
        <v>37</v>
      </c>
      <c r="B62" s="3">
        <v>45658</v>
      </c>
      <c r="C62">
        <v>749559.71</v>
      </c>
      <c r="D62">
        <v>74907.98</v>
      </c>
      <c r="E62">
        <v>5306</v>
      </c>
      <c r="F62">
        <v>6.2E-2</v>
      </c>
      <c r="G62">
        <v>0.95599999999999996</v>
      </c>
      <c r="H62" s="1">
        <v>3.7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</row>
    <row r="63" spans="1:14">
      <c r="A63" t="s">
        <v>37</v>
      </c>
      <c r="B63" s="3">
        <v>45689</v>
      </c>
      <c r="C63">
        <v>615966.48</v>
      </c>
      <c r="D63">
        <v>37284.660000000003</v>
      </c>
      <c r="E63">
        <v>3928</v>
      </c>
      <c r="F63">
        <v>7.3999999999999996E-2</v>
      </c>
      <c r="G63">
        <v>0.86499999999999999</v>
      </c>
      <c r="H63" s="1">
        <v>3.8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</row>
    <row r="64" spans="1:14">
      <c r="A64" t="s">
        <v>37</v>
      </c>
      <c r="B64" s="3">
        <v>45717</v>
      </c>
      <c r="C64">
        <v>572011.19999999995</v>
      </c>
      <c r="D64">
        <v>50343.19</v>
      </c>
      <c r="E64">
        <v>3845</v>
      </c>
      <c r="F64">
        <v>0.113</v>
      </c>
      <c r="G64">
        <v>0.88700000000000001</v>
      </c>
      <c r="H64" s="1">
        <v>3.3</v>
      </c>
      <c r="I64">
        <v>0</v>
      </c>
      <c r="J64">
        <v>0</v>
      </c>
      <c r="K64">
        <v>1</v>
      </c>
      <c r="L64">
        <v>1</v>
      </c>
      <c r="M64">
        <v>0</v>
      </c>
      <c r="N64">
        <v>0</v>
      </c>
    </row>
    <row r="65" spans="1:14">
      <c r="A65" t="s">
        <v>37</v>
      </c>
      <c r="B65" s="3">
        <v>45748</v>
      </c>
      <c r="C65">
        <v>761860.19</v>
      </c>
      <c r="D65">
        <v>74954.47</v>
      </c>
      <c r="E65">
        <v>6620</v>
      </c>
      <c r="F65">
        <v>5.3999999999999999E-2</v>
      </c>
      <c r="G65">
        <v>0.91099999999999992</v>
      </c>
      <c r="H65" s="1">
        <v>3.5</v>
      </c>
      <c r="I65">
        <v>0</v>
      </c>
      <c r="J65">
        <v>0</v>
      </c>
      <c r="K65">
        <v>1</v>
      </c>
      <c r="L65">
        <v>1</v>
      </c>
      <c r="M65">
        <v>0</v>
      </c>
      <c r="N65">
        <v>0</v>
      </c>
    </row>
    <row r="66" spans="1:14">
      <c r="A66" t="s">
        <v>38</v>
      </c>
      <c r="B66" s="3">
        <v>45658</v>
      </c>
      <c r="C66">
        <v>784502.68</v>
      </c>
      <c r="D66">
        <v>70040.31</v>
      </c>
      <c r="E66">
        <v>9175</v>
      </c>
      <c r="F66">
        <v>0.107</v>
      </c>
      <c r="G66">
        <v>0.95099999999999996</v>
      </c>
      <c r="H66" s="1">
        <v>3.4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</row>
    <row r="67" spans="1:14">
      <c r="A67" t="s">
        <v>38</v>
      </c>
      <c r="B67" s="3">
        <v>45689</v>
      </c>
      <c r="C67">
        <v>717141.55</v>
      </c>
      <c r="D67">
        <v>51148.69</v>
      </c>
      <c r="E67">
        <v>7940</v>
      </c>
      <c r="F67">
        <v>0.156</v>
      </c>
      <c r="G67">
        <v>0.93299999999999994</v>
      </c>
      <c r="H67" s="1">
        <v>3.6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</row>
    <row r="68" spans="1:14">
      <c r="A68" t="s">
        <v>38</v>
      </c>
      <c r="B68" s="3">
        <v>45717</v>
      </c>
      <c r="C68">
        <v>685379.08</v>
      </c>
      <c r="D68">
        <v>79346.100000000006</v>
      </c>
      <c r="E68">
        <v>9628</v>
      </c>
      <c r="F68">
        <v>0.10199999999999999</v>
      </c>
      <c r="G68">
        <v>0.99</v>
      </c>
      <c r="H68" s="1">
        <v>3.2</v>
      </c>
      <c r="I68">
        <v>1</v>
      </c>
      <c r="J68">
        <v>0</v>
      </c>
      <c r="K68">
        <v>0</v>
      </c>
      <c r="L68">
        <v>1</v>
      </c>
      <c r="M68">
        <v>0</v>
      </c>
      <c r="N68">
        <v>0</v>
      </c>
    </row>
    <row r="69" spans="1:14">
      <c r="A69" t="s">
        <v>38</v>
      </c>
      <c r="B69" s="3">
        <v>45748</v>
      </c>
      <c r="C69">
        <v>740496.65</v>
      </c>
      <c r="D69">
        <v>42018.400000000001</v>
      </c>
      <c r="E69">
        <v>8296</v>
      </c>
      <c r="F69">
        <v>0.115</v>
      </c>
      <c r="G69">
        <v>0.91799999999999993</v>
      </c>
      <c r="H69" s="1">
        <v>3.4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</row>
    <row r="70" spans="1:14">
      <c r="A70" t="s">
        <v>39</v>
      </c>
      <c r="B70" s="3">
        <v>45658</v>
      </c>
      <c r="C70">
        <v>661927.14</v>
      </c>
      <c r="D70">
        <v>70937.240000000005</v>
      </c>
      <c r="E70">
        <v>3595</v>
      </c>
      <c r="F70">
        <v>0.14099999999999999</v>
      </c>
      <c r="G70">
        <v>0.88900000000000001</v>
      </c>
      <c r="H70" s="1">
        <v>3.3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</row>
    <row r="71" spans="1:14">
      <c r="A71" t="s">
        <v>39</v>
      </c>
      <c r="B71" s="3">
        <v>45689</v>
      </c>
      <c r="C71">
        <v>479050.5</v>
      </c>
      <c r="D71">
        <v>36813.449999999997</v>
      </c>
      <c r="E71">
        <v>2834</v>
      </c>
      <c r="F71">
        <v>0.191</v>
      </c>
      <c r="G71">
        <v>0.81799999999999995</v>
      </c>
      <c r="H71" s="1">
        <v>3.3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</row>
    <row r="72" spans="1:14">
      <c r="A72" t="s">
        <v>39</v>
      </c>
      <c r="B72" s="3">
        <v>45717</v>
      </c>
      <c r="C72">
        <v>605023.87</v>
      </c>
      <c r="D72">
        <v>60571.82</v>
      </c>
      <c r="E72">
        <v>3193</v>
      </c>
      <c r="F72">
        <v>0.19700000000000001</v>
      </c>
      <c r="G72">
        <v>0.99</v>
      </c>
      <c r="H72" s="1">
        <v>3.2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</row>
    <row r="73" spans="1:14">
      <c r="A73" t="s">
        <v>39</v>
      </c>
      <c r="B73" s="3">
        <v>45748</v>
      </c>
      <c r="C73">
        <v>674774.09</v>
      </c>
      <c r="D73">
        <v>55081.16</v>
      </c>
      <c r="E73">
        <v>5485</v>
      </c>
      <c r="F73">
        <v>3.5999999999999997E-2</v>
      </c>
      <c r="G73">
        <v>0.88</v>
      </c>
      <c r="H73" s="1">
        <v>3.5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</row>
    <row r="74" spans="1:14">
      <c r="A74" t="s">
        <v>40</v>
      </c>
      <c r="B74" s="3">
        <v>45658</v>
      </c>
      <c r="C74">
        <v>616069.41</v>
      </c>
      <c r="D74">
        <v>46201.46</v>
      </c>
      <c r="E74">
        <v>5918</v>
      </c>
      <c r="F74">
        <v>0.27700000000000002</v>
      </c>
      <c r="G74">
        <v>0.78799999999999992</v>
      </c>
      <c r="H74" s="1">
        <v>4.5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</row>
    <row r="75" spans="1:14">
      <c r="A75" t="s">
        <v>40</v>
      </c>
      <c r="B75" s="3">
        <v>45689</v>
      </c>
      <c r="C75">
        <v>630829.93999999994</v>
      </c>
      <c r="D75">
        <v>53762.92</v>
      </c>
      <c r="E75">
        <v>6821</v>
      </c>
      <c r="F75">
        <v>6.6000000000000003E-2</v>
      </c>
      <c r="G75">
        <v>0.94599999999999995</v>
      </c>
      <c r="H75" s="1">
        <v>4.4000000000000004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</row>
    <row r="76" spans="1:14">
      <c r="A76" t="s">
        <v>40</v>
      </c>
      <c r="B76" s="3">
        <v>45717</v>
      </c>
      <c r="C76">
        <v>788087.68</v>
      </c>
      <c r="D76">
        <v>70144.78</v>
      </c>
      <c r="E76">
        <v>6806</v>
      </c>
      <c r="F76">
        <v>0.17799999999999999</v>
      </c>
      <c r="G76">
        <v>0.93099999999999994</v>
      </c>
      <c r="H76" s="1">
        <v>4.3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</row>
    <row r="77" spans="1:14">
      <c r="A77" t="s">
        <v>40</v>
      </c>
      <c r="B77" s="3">
        <v>45748</v>
      </c>
      <c r="C77">
        <v>680840.36</v>
      </c>
      <c r="D77">
        <v>58749.63</v>
      </c>
      <c r="E77">
        <v>8252</v>
      </c>
      <c r="F77">
        <v>0.20300000000000001</v>
      </c>
      <c r="G77">
        <v>0.85199999999999998</v>
      </c>
      <c r="H77" s="1">
        <v>4.5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</row>
    <row r="78" spans="1:14">
      <c r="A78" t="s">
        <v>41</v>
      </c>
      <c r="B78" s="3">
        <v>45658</v>
      </c>
      <c r="C78">
        <v>643657.47</v>
      </c>
      <c r="D78">
        <v>56973.18</v>
      </c>
      <c r="E78">
        <v>6662</v>
      </c>
      <c r="F78">
        <v>0.1</v>
      </c>
      <c r="G78">
        <v>0.77700000000000002</v>
      </c>
      <c r="H78" s="1">
        <v>3.2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</row>
    <row r="79" spans="1:14">
      <c r="A79" t="s">
        <v>41</v>
      </c>
      <c r="B79" s="3">
        <v>45689</v>
      </c>
      <c r="C79">
        <v>691112.6</v>
      </c>
      <c r="D79">
        <v>54872.82</v>
      </c>
      <c r="E79">
        <v>5962</v>
      </c>
      <c r="F79">
        <v>6.4000000000000001E-2</v>
      </c>
      <c r="G79">
        <v>0.85400000000000009</v>
      </c>
      <c r="H79" s="1">
        <v>2.9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</row>
    <row r="80" spans="1:14">
      <c r="A80" t="s">
        <v>41</v>
      </c>
      <c r="B80" s="3">
        <v>45717</v>
      </c>
      <c r="C80">
        <v>776922.17</v>
      </c>
      <c r="D80">
        <v>80562.81</v>
      </c>
      <c r="E80">
        <v>7470</v>
      </c>
      <c r="F80">
        <v>0.17199999999999999</v>
      </c>
      <c r="G80">
        <v>0.83499999999999996</v>
      </c>
      <c r="H80" s="1">
        <v>3.3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</row>
    <row r="81" spans="1:14">
      <c r="A81" t="s">
        <v>41</v>
      </c>
      <c r="B81" s="3">
        <v>45748</v>
      </c>
      <c r="C81">
        <v>636561.34</v>
      </c>
      <c r="D81">
        <v>77999.899999999994</v>
      </c>
      <c r="E81">
        <v>5974</v>
      </c>
      <c r="F81">
        <v>0.252</v>
      </c>
      <c r="G81">
        <v>0.81299999999999994</v>
      </c>
      <c r="H81" s="1">
        <v>3.2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</row>
    <row r="82" spans="1:14">
      <c r="A82" t="s">
        <v>42</v>
      </c>
      <c r="B82" s="3">
        <v>45658</v>
      </c>
      <c r="C82">
        <v>621369.57999999996</v>
      </c>
      <c r="D82">
        <v>60881.01</v>
      </c>
      <c r="E82">
        <v>5410</v>
      </c>
      <c r="F82">
        <v>0.17899999999999999</v>
      </c>
      <c r="G82">
        <v>0.83900000000000008</v>
      </c>
      <c r="H82" s="1">
        <v>4.5999999999999996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42</v>
      </c>
      <c r="B83" s="3">
        <v>45689</v>
      </c>
      <c r="C83">
        <v>682208.01</v>
      </c>
      <c r="D83">
        <v>60628.38</v>
      </c>
      <c r="E83">
        <v>4451</v>
      </c>
      <c r="F83">
        <v>9.5000000000000001E-2</v>
      </c>
      <c r="G83">
        <v>0.89599999999999991</v>
      </c>
      <c r="H83" s="1">
        <v>4.5999999999999996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42</v>
      </c>
      <c r="B84" s="3">
        <v>45717</v>
      </c>
      <c r="C84">
        <v>727241.86</v>
      </c>
      <c r="D84">
        <v>72731.14</v>
      </c>
      <c r="E84">
        <v>4644</v>
      </c>
      <c r="F84">
        <v>8.4000000000000005E-2</v>
      </c>
      <c r="G84">
        <v>0.871</v>
      </c>
      <c r="H84" s="1">
        <v>4.5999999999999996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42</v>
      </c>
      <c r="B85" s="3">
        <v>45748</v>
      </c>
      <c r="C85">
        <v>569100.78</v>
      </c>
      <c r="D85">
        <v>36475.71</v>
      </c>
      <c r="E85">
        <v>3559</v>
      </c>
      <c r="F85">
        <v>0.03</v>
      </c>
      <c r="G85">
        <v>0.83599999999999997</v>
      </c>
      <c r="H85" s="1">
        <v>4.2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43</v>
      </c>
      <c r="B86" s="3">
        <v>45658</v>
      </c>
      <c r="C86">
        <v>574436.29</v>
      </c>
      <c r="D86">
        <v>55388.11</v>
      </c>
      <c r="E86">
        <v>3091</v>
      </c>
      <c r="F86">
        <v>0.108</v>
      </c>
      <c r="G86">
        <v>0.85400000000000009</v>
      </c>
      <c r="H86" s="1">
        <v>4.9000000000000004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</row>
    <row r="87" spans="1:14">
      <c r="A87" t="s">
        <v>43</v>
      </c>
      <c r="B87" s="3">
        <v>45689</v>
      </c>
      <c r="C87">
        <v>611766.72</v>
      </c>
      <c r="D87">
        <v>88443.77</v>
      </c>
      <c r="E87">
        <v>4004</v>
      </c>
      <c r="F87">
        <v>0.20599999999999999</v>
      </c>
      <c r="G87">
        <v>0.91900000000000004</v>
      </c>
      <c r="H87" s="10">
        <v>3.92</v>
      </c>
      <c r="I87">
        <v>1</v>
      </c>
      <c r="J87">
        <v>0</v>
      </c>
      <c r="K87">
        <v>0</v>
      </c>
      <c r="L87">
        <v>1</v>
      </c>
      <c r="M87">
        <v>0</v>
      </c>
      <c r="N87">
        <v>0</v>
      </c>
    </row>
    <row r="88" spans="1:14">
      <c r="A88" t="s">
        <v>43</v>
      </c>
      <c r="B88" s="3">
        <v>45717</v>
      </c>
      <c r="C88">
        <v>614596.31999999995</v>
      </c>
      <c r="D88">
        <v>78231.91</v>
      </c>
      <c r="E88">
        <v>3788</v>
      </c>
      <c r="F88">
        <v>5.8999999999999997E-2</v>
      </c>
      <c r="G88">
        <v>0.88500000000000001</v>
      </c>
      <c r="H88" s="1">
        <v>4.3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</row>
    <row r="89" spans="1:14">
      <c r="A89" t="s">
        <v>43</v>
      </c>
      <c r="B89" s="3">
        <v>45748</v>
      </c>
      <c r="C89">
        <v>450711.92</v>
      </c>
      <c r="D89">
        <v>18996.32</v>
      </c>
      <c r="E89">
        <v>1260</v>
      </c>
      <c r="F89">
        <v>0.14499999999999999</v>
      </c>
      <c r="G89">
        <v>0.8640000000000001</v>
      </c>
      <c r="H89" s="1">
        <v>4.5999999999999996</v>
      </c>
      <c r="I89">
        <v>1</v>
      </c>
      <c r="J89">
        <v>0</v>
      </c>
      <c r="K89">
        <v>0</v>
      </c>
      <c r="L89">
        <v>1</v>
      </c>
      <c r="M89">
        <v>0</v>
      </c>
      <c r="N89">
        <v>0</v>
      </c>
    </row>
    <row r="90" spans="1:14">
      <c r="A90" t="s">
        <v>44</v>
      </c>
      <c r="B90" s="3">
        <v>45658</v>
      </c>
      <c r="C90">
        <v>711213.46</v>
      </c>
      <c r="D90">
        <v>50517.94</v>
      </c>
      <c r="E90">
        <v>7024</v>
      </c>
      <c r="F90">
        <v>2.9000000000000001E-2</v>
      </c>
      <c r="G90">
        <v>0.79200000000000004</v>
      </c>
      <c r="H90" s="1">
        <v>4.0999999999999996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</row>
    <row r="91" spans="1:14">
      <c r="A91" t="s">
        <v>44</v>
      </c>
      <c r="B91" s="3">
        <v>45689</v>
      </c>
      <c r="C91">
        <v>627171.9</v>
      </c>
      <c r="D91">
        <v>141540.29</v>
      </c>
      <c r="E91">
        <v>5400</v>
      </c>
      <c r="F91">
        <v>1.2999999999999999E-2</v>
      </c>
      <c r="G91">
        <v>0.87</v>
      </c>
      <c r="H91" s="1">
        <v>4.5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</row>
    <row r="92" spans="1:14">
      <c r="A92" t="s">
        <v>44</v>
      </c>
      <c r="B92" s="3">
        <v>45717</v>
      </c>
      <c r="C92">
        <v>739852.58</v>
      </c>
      <c r="D92">
        <v>82116.19</v>
      </c>
      <c r="E92">
        <v>5988</v>
      </c>
      <c r="F92">
        <v>0.04</v>
      </c>
      <c r="G92">
        <v>0.91799999999999993</v>
      </c>
      <c r="H92" s="1">
        <v>4.7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</row>
    <row r="93" spans="1:14">
      <c r="A93" t="s">
        <v>44</v>
      </c>
      <c r="B93" s="3">
        <v>45748</v>
      </c>
      <c r="C93">
        <v>586307.22</v>
      </c>
      <c r="D93">
        <v>31207.51</v>
      </c>
      <c r="E93">
        <v>3701</v>
      </c>
      <c r="F93">
        <v>4.2999999999999997E-2</v>
      </c>
      <c r="G93">
        <v>0.84699999999999998</v>
      </c>
      <c r="H93" s="1">
        <v>4.3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</row>
    <row r="94" spans="1:14">
      <c r="A94" t="s">
        <v>45</v>
      </c>
      <c r="B94" s="3">
        <v>45658</v>
      </c>
      <c r="C94">
        <v>585937.48</v>
      </c>
      <c r="D94">
        <v>38966.589999999997</v>
      </c>
      <c r="E94">
        <v>4509</v>
      </c>
      <c r="F94">
        <v>0.19400000000000001</v>
      </c>
      <c r="G94">
        <v>0.91099999999999992</v>
      </c>
      <c r="H94" s="1">
        <v>4.5999999999999996</v>
      </c>
      <c r="I94">
        <v>1</v>
      </c>
      <c r="J94">
        <v>0</v>
      </c>
      <c r="K94">
        <v>0</v>
      </c>
      <c r="L94">
        <v>0</v>
      </c>
      <c r="M94">
        <v>1</v>
      </c>
      <c r="N94">
        <v>0</v>
      </c>
    </row>
    <row r="95" spans="1:14">
      <c r="A95" t="s">
        <v>45</v>
      </c>
      <c r="B95" s="3">
        <v>45689</v>
      </c>
      <c r="C95">
        <v>753473.55</v>
      </c>
      <c r="D95">
        <v>67439.3</v>
      </c>
      <c r="E95">
        <v>6477</v>
      </c>
      <c r="F95">
        <v>0</v>
      </c>
      <c r="G95">
        <v>0.90900000000000003</v>
      </c>
      <c r="H95" s="1">
        <v>4.5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</row>
    <row r="96" spans="1:14">
      <c r="A96" t="s">
        <v>45</v>
      </c>
      <c r="B96" s="3">
        <v>45717</v>
      </c>
      <c r="C96">
        <v>838250.32</v>
      </c>
      <c r="D96">
        <v>86421.88</v>
      </c>
      <c r="E96">
        <v>7970</v>
      </c>
      <c r="F96">
        <v>7.2999999999999995E-2</v>
      </c>
      <c r="G96">
        <v>0.91299999999999992</v>
      </c>
      <c r="H96" s="1">
        <v>5</v>
      </c>
      <c r="I96">
        <v>1</v>
      </c>
      <c r="J96">
        <v>0</v>
      </c>
      <c r="K96">
        <v>0</v>
      </c>
      <c r="L96">
        <v>0</v>
      </c>
      <c r="M96">
        <v>1</v>
      </c>
      <c r="N96">
        <v>0</v>
      </c>
    </row>
    <row r="97" spans="1:14">
      <c r="A97" t="s">
        <v>45</v>
      </c>
      <c r="B97" s="3">
        <v>45748</v>
      </c>
      <c r="C97">
        <v>607898.12</v>
      </c>
      <c r="D97">
        <v>9534.65</v>
      </c>
      <c r="E97">
        <v>6057</v>
      </c>
      <c r="F97">
        <v>7.3999999999999996E-2</v>
      </c>
      <c r="G97">
        <v>0.94099999999999995</v>
      </c>
      <c r="H97" s="1">
        <v>4.5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</row>
    <row r="98" spans="1:14">
      <c r="A98" t="s">
        <v>46</v>
      </c>
      <c r="B98" s="3">
        <v>45658</v>
      </c>
      <c r="C98">
        <v>691113.62</v>
      </c>
      <c r="D98">
        <v>61132.07</v>
      </c>
      <c r="E98">
        <v>6394</v>
      </c>
      <c r="F98">
        <v>0.16300000000000001</v>
      </c>
      <c r="G98">
        <v>0.91</v>
      </c>
      <c r="H98" s="1">
        <v>4.4000000000000004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46</v>
      </c>
      <c r="B99" s="3">
        <v>45689</v>
      </c>
      <c r="C99">
        <v>735509.4</v>
      </c>
      <c r="D99">
        <v>78839.39</v>
      </c>
      <c r="E99">
        <v>5150</v>
      </c>
      <c r="F99">
        <v>0.17100000000000001</v>
      </c>
      <c r="G99">
        <v>0.85799999999999998</v>
      </c>
      <c r="H99" s="1">
        <v>4.3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46</v>
      </c>
      <c r="B100" s="3">
        <v>45717</v>
      </c>
      <c r="C100">
        <v>605775.32999999996</v>
      </c>
      <c r="D100">
        <v>38752.800000000003</v>
      </c>
      <c r="E100">
        <v>4712</v>
      </c>
      <c r="F100">
        <v>7.4999999999999997E-2</v>
      </c>
      <c r="G100">
        <v>0.89700000000000002</v>
      </c>
      <c r="H100" s="1">
        <v>4.3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46</v>
      </c>
      <c r="B101" s="3">
        <v>45748</v>
      </c>
      <c r="C101">
        <v>675177.68</v>
      </c>
      <c r="D101">
        <v>55101.1</v>
      </c>
      <c r="E101">
        <v>5281</v>
      </c>
      <c r="F101">
        <v>0.189</v>
      </c>
      <c r="G101">
        <v>0.91</v>
      </c>
      <c r="H101" s="1">
        <v>4.4000000000000004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47</v>
      </c>
      <c r="B102" s="3">
        <v>45658</v>
      </c>
      <c r="C102">
        <v>635181.35</v>
      </c>
      <c r="D102">
        <v>53084.76</v>
      </c>
      <c r="E102">
        <v>3642</v>
      </c>
      <c r="F102">
        <v>0.15</v>
      </c>
      <c r="G102">
        <v>0.91400000000000003</v>
      </c>
      <c r="H102" s="1">
        <v>4.4000000000000004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47</v>
      </c>
      <c r="B103" s="3">
        <v>45689</v>
      </c>
      <c r="C103">
        <v>586626.93999999994</v>
      </c>
      <c r="D103">
        <v>63101.59</v>
      </c>
      <c r="E103">
        <v>4373</v>
      </c>
      <c r="F103">
        <v>0.17299999999999999</v>
      </c>
      <c r="G103">
        <v>0.90400000000000003</v>
      </c>
      <c r="H103" s="1">
        <v>4.7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47</v>
      </c>
      <c r="B104" s="3">
        <v>45717</v>
      </c>
      <c r="C104">
        <v>740102.64</v>
      </c>
      <c r="D104">
        <v>90084.4</v>
      </c>
      <c r="E104">
        <v>6832</v>
      </c>
      <c r="F104">
        <v>0.185</v>
      </c>
      <c r="G104">
        <v>0.80500000000000005</v>
      </c>
      <c r="H104" s="1">
        <v>4.4000000000000004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47</v>
      </c>
      <c r="B105" s="3">
        <v>45748</v>
      </c>
      <c r="C105">
        <v>625514.04</v>
      </c>
      <c r="D105">
        <v>32266.639999999999</v>
      </c>
      <c r="E105">
        <v>2414</v>
      </c>
      <c r="F105">
        <v>0.08</v>
      </c>
      <c r="G105">
        <v>0.92099999999999993</v>
      </c>
      <c r="H105" s="1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48</v>
      </c>
      <c r="B106" s="3">
        <v>45658</v>
      </c>
      <c r="C106">
        <v>727227.2</v>
      </c>
      <c r="D106">
        <v>57919.07</v>
      </c>
      <c r="E106">
        <v>7374</v>
      </c>
      <c r="F106">
        <v>0.10299999999999999</v>
      </c>
      <c r="G106">
        <v>0.82299999999999995</v>
      </c>
      <c r="H106" s="1">
        <v>2.9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0</v>
      </c>
    </row>
    <row r="107" spans="1:14">
      <c r="A107" t="s">
        <v>48</v>
      </c>
      <c r="B107" s="3">
        <v>45689</v>
      </c>
      <c r="C107">
        <v>783797.89</v>
      </c>
      <c r="D107">
        <v>74679.350000000006</v>
      </c>
      <c r="E107">
        <v>8739</v>
      </c>
      <c r="F107">
        <v>5.6000000000000001E-2</v>
      </c>
      <c r="G107">
        <v>0.91799999999999993</v>
      </c>
      <c r="H107" s="1">
        <v>3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</row>
    <row r="108" spans="1:14">
      <c r="A108" t="s">
        <v>48</v>
      </c>
      <c r="B108" s="3">
        <v>45717</v>
      </c>
      <c r="C108">
        <v>795153.84</v>
      </c>
      <c r="D108">
        <v>64294.23</v>
      </c>
      <c r="E108">
        <v>6992</v>
      </c>
      <c r="F108">
        <v>0.13300000000000001</v>
      </c>
      <c r="G108">
        <v>0.94099999999999995</v>
      </c>
      <c r="H108" s="1">
        <v>3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</row>
    <row r="109" spans="1:14">
      <c r="A109" t="s">
        <v>48</v>
      </c>
      <c r="B109" s="3">
        <v>45748</v>
      </c>
      <c r="C109">
        <v>665594.93999999994</v>
      </c>
      <c r="D109">
        <v>31042.03</v>
      </c>
      <c r="E109">
        <v>7107</v>
      </c>
      <c r="F109">
        <v>5.0999999999999997E-2</v>
      </c>
      <c r="G109">
        <v>0.87</v>
      </c>
      <c r="H109" s="1">
        <v>3.2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</row>
    <row r="110" spans="1:14">
      <c r="A110" t="s">
        <v>49</v>
      </c>
      <c r="B110" s="3">
        <v>45658</v>
      </c>
      <c r="C110">
        <v>709478.39</v>
      </c>
      <c r="D110">
        <v>75265.02</v>
      </c>
      <c r="E110">
        <v>6975</v>
      </c>
      <c r="F110">
        <v>0.157</v>
      </c>
      <c r="G110">
        <v>0.73799999999999999</v>
      </c>
      <c r="H110" s="1">
        <v>3.8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49</v>
      </c>
      <c r="B111" s="3">
        <v>45689</v>
      </c>
      <c r="C111">
        <v>664162.49</v>
      </c>
      <c r="D111">
        <v>69411.7</v>
      </c>
      <c r="E111">
        <v>5493</v>
      </c>
      <c r="F111">
        <v>0.29199999999999998</v>
      </c>
      <c r="G111">
        <v>0.86499999999999999</v>
      </c>
      <c r="H111" s="1">
        <v>3.8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49</v>
      </c>
      <c r="B112" s="3">
        <v>45717</v>
      </c>
      <c r="C112">
        <v>633494.21</v>
      </c>
      <c r="D112">
        <v>51056.15</v>
      </c>
      <c r="E112">
        <v>5686</v>
      </c>
      <c r="F112">
        <v>8.8999999999999996E-2</v>
      </c>
      <c r="G112">
        <v>0.89900000000000002</v>
      </c>
      <c r="H112" s="1">
        <v>4.2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49</v>
      </c>
      <c r="B113" s="3">
        <v>45748</v>
      </c>
      <c r="C113">
        <v>713611.16</v>
      </c>
      <c r="D113">
        <v>52758.01</v>
      </c>
      <c r="E113">
        <v>4063</v>
      </c>
      <c r="F113">
        <v>5.7000000000000002E-2</v>
      </c>
      <c r="G113">
        <v>0.91700000000000004</v>
      </c>
      <c r="H113" s="1">
        <v>3.5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50</v>
      </c>
      <c r="B114" s="3">
        <v>45658</v>
      </c>
      <c r="C114">
        <v>778397.97</v>
      </c>
      <c r="D114">
        <v>61426.04</v>
      </c>
      <c r="E114">
        <v>8966</v>
      </c>
      <c r="F114">
        <v>0.17299999999999999</v>
      </c>
      <c r="G114">
        <v>0.76400000000000001</v>
      </c>
      <c r="H114" s="1">
        <v>3.1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50</v>
      </c>
      <c r="B115" s="3">
        <v>45689</v>
      </c>
      <c r="C115">
        <v>873380.02</v>
      </c>
      <c r="D115">
        <v>80176.34</v>
      </c>
      <c r="E115">
        <v>9489</v>
      </c>
      <c r="F115">
        <v>0.14199999999999999</v>
      </c>
      <c r="G115">
        <v>0.94299999999999995</v>
      </c>
      <c r="H115" s="1">
        <v>3.5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50</v>
      </c>
      <c r="B116" s="3">
        <v>45717</v>
      </c>
      <c r="C116">
        <v>697287.9</v>
      </c>
      <c r="D116">
        <v>33605.18</v>
      </c>
      <c r="E116">
        <v>9225</v>
      </c>
      <c r="F116">
        <v>0.159</v>
      </c>
      <c r="G116">
        <v>0.88400000000000001</v>
      </c>
      <c r="H116" s="1">
        <v>2.8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50</v>
      </c>
      <c r="B117" s="3">
        <v>45748</v>
      </c>
      <c r="C117">
        <v>718074.79</v>
      </c>
      <c r="D117">
        <v>25990.54</v>
      </c>
      <c r="E117">
        <v>9249</v>
      </c>
      <c r="F117">
        <v>0.13900000000000001</v>
      </c>
      <c r="G117">
        <v>0.92500000000000004</v>
      </c>
      <c r="H117" s="1">
        <v>3.3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51</v>
      </c>
      <c r="B118" s="3">
        <v>45658</v>
      </c>
      <c r="C118">
        <v>714942.43</v>
      </c>
      <c r="D118">
        <v>43685.14</v>
      </c>
      <c r="E118">
        <v>7821</v>
      </c>
      <c r="F118">
        <v>0.19</v>
      </c>
      <c r="G118">
        <v>0.91</v>
      </c>
      <c r="H118" s="1">
        <v>4.7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0</v>
      </c>
    </row>
    <row r="119" spans="1:14">
      <c r="A119" t="s">
        <v>51</v>
      </c>
      <c r="B119" s="3">
        <v>45689</v>
      </c>
      <c r="C119">
        <v>820519.04</v>
      </c>
      <c r="D119">
        <v>57360.01</v>
      </c>
      <c r="E119">
        <v>8434</v>
      </c>
      <c r="F119">
        <v>0.151</v>
      </c>
      <c r="G119">
        <v>0.84099999999999997</v>
      </c>
      <c r="H119" s="1">
        <v>4.7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0</v>
      </c>
    </row>
    <row r="120" spans="1:14">
      <c r="A120" t="s">
        <v>51</v>
      </c>
      <c r="B120" s="3">
        <v>45717</v>
      </c>
      <c r="C120">
        <v>684217.32</v>
      </c>
      <c r="D120">
        <v>42415.47</v>
      </c>
      <c r="E120">
        <v>8512</v>
      </c>
      <c r="F120">
        <v>0.13300000000000001</v>
      </c>
      <c r="G120">
        <v>0.96799999999999997</v>
      </c>
      <c r="H120" s="1">
        <v>4.5999999999999996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</row>
    <row r="121" spans="1:14">
      <c r="A121" t="s">
        <v>51</v>
      </c>
      <c r="B121" s="3">
        <v>45748</v>
      </c>
      <c r="C121">
        <v>735480.19</v>
      </c>
      <c r="D121">
        <v>54968.98</v>
      </c>
      <c r="E121">
        <v>7816</v>
      </c>
      <c r="F121">
        <v>0.23200000000000001</v>
      </c>
      <c r="G121">
        <v>0.95700000000000007</v>
      </c>
      <c r="H121" s="1">
        <v>4.7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</row>
    <row r="122" spans="1:14">
      <c r="A122" t="s">
        <v>52</v>
      </c>
      <c r="B122" s="3">
        <v>45658</v>
      </c>
      <c r="C122">
        <v>509484.81</v>
      </c>
      <c r="D122">
        <v>43896.13</v>
      </c>
      <c r="E122">
        <v>3853</v>
      </c>
      <c r="F122">
        <v>8.7999999999999995E-2</v>
      </c>
      <c r="G122">
        <v>0.83</v>
      </c>
      <c r="H122" s="1">
        <v>4.4000000000000004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</row>
    <row r="123" spans="1:14">
      <c r="A123" t="s">
        <v>52</v>
      </c>
      <c r="B123" s="3">
        <v>45689</v>
      </c>
      <c r="C123">
        <v>654317.09</v>
      </c>
      <c r="D123">
        <v>83044.17</v>
      </c>
      <c r="E123">
        <v>3694</v>
      </c>
      <c r="F123">
        <v>0</v>
      </c>
      <c r="G123">
        <v>0.89400000000000002</v>
      </c>
      <c r="H123" s="1">
        <v>3.7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0</v>
      </c>
    </row>
    <row r="124" spans="1:14">
      <c r="A124" t="s">
        <v>52</v>
      </c>
      <c r="B124" s="3">
        <v>45717</v>
      </c>
      <c r="C124">
        <v>557487.26</v>
      </c>
      <c r="D124">
        <v>48396.13</v>
      </c>
      <c r="E124">
        <v>4423</v>
      </c>
      <c r="F124">
        <v>6.9000000000000006E-2</v>
      </c>
      <c r="G124">
        <v>0.85699999999999998</v>
      </c>
      <c r="H124" s="1">
        <v>3.9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</row>
    <row r="125" spans="1:14">
      <c r="A125" t="s">
        <v>52</v>
      </c>
      <c r="B125" s="3">
        <v>45748</v>
      </c>
      <c r="C125">
        <v>441275.42</v>
      </c>
      <c r="D125">
        <v>19063.48</v>
      </c>
      <c r="E125">
        <v>1906</v>
      </c>
      <c r="F125">
        <v>0.216</v>
      </c>
      <c r="G125">
        <v>0.97799999999999998</v>
      </c>
      <c r="H125" s="1">
        <v>4.4000000000000004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0</v>
      </c>
    </row>
    <row r="126" spans="1:14">
      <c r="A126" t="s">
        <v>53</v>
      </c>
      <c r="B126" s="3">
        <v>45658</v>
      </c>
      <c r="C126">
        <v>914544.17</v>
      </c>
      <c r="D126">
        <v>61541.21</v>
      </c>
      <c r="E126">
        <v>10396</v>
      </c>
      <c r="F126">
        <v>0.123</v>
      </c>
      <c r="G126">
        <v>0.88099999999999989</v>
      </c>
      <c r="H126" s="1">
        <v>4.8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</row>
    <row r="127" spans="1:14">
      <c r="A127" t="s">
        <v>53</v>
      </c>
      <c r="B127" s="3">
        <v>45689</v>
      </c>
      <c r="C127">
        <v>842439.67</v>
      </c>
      <c r="D127">
        <v>44747</v>
      </c>
      <c r="E127">
        <v>11076</v>
      </c>
      <c r="F127">
        <v>0.17599999999999999</v>
      </c>
      <c r="G127">
        <v>0.98299999999999998</v>
      </c>
      <c r="H127" s="1">
        <v>4.4000000000000004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</row>
    <row r="128" spans="1:14">
      <c r="A128" t="s">
        <v>53</v>
      </c>
      <c r="B128" s="3">
        <v>45717</v>
      </c>
      <c r="C128">
        <v>842157.92</v>
      </c>
      <c r="D128">
        <v>56517.9</v>
      </c>
      <c r="E128">
        <v>9574</v>
      </c>
      <c r="F128">
        <v>0.20399999999999999</v>
      </c>
      <c r="G128">
        <v>0.88200000000000001</v>
      </c>
      <c r="H128" s="1">
        <v>4.9000000000000004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0</v>
      </c>
    </row>
    <row r="129" spans="1:14">
      <c r="A129" t="s">
        <v>53</v>
      </c>
      <c r="B129" s="3">
        <v>45748</v>
      </c>
      <c r="C129">
        <v>697155.3</v>
      </c>
      <c r="D129">
        <v>37828.5</v>
      </c>
      <c r="E129">
        <v>8221</v>
      </c>
      <c r="F129">
        <v>9.6000000000000002E-2</v>
      </c>
      <c r="G129">
        <v>0.81499999999999995</v>
      </c>
      <c r="H129" s="1">
        <v>4.8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</row>
    <row r="130" spans="1:14">
      <c r="A130" t="s">
        <v>54</v>
      </c>
      <c r="B130" s="3">
        <v>45658</v>
      </c>
      <c r="C130">
        <v>849018.3</v>
      </c>
      <c r="D130">
        <v>66250.53</v>
      </c>
      <c r="E130">
        <v>10618</v>
      </c>
      <c r="F130">
        <v>0.14199999999999999</v>
      </c>
      <c r="G130">
        <v>0.88300000000000001</v>
      </c>
      <c r="H130" s="1">
        <v>4.4000000000000004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</row>
    <row r="131" spans="1:14">
      <c r="A131" t="s">
        <v>54</v>
      </c>
      <c r="B131" s="3">
        <v>45689</v>
      </c>
      <c r="C131">
        <v>801830.35</v>
      </c>
      <c r="D131">
        <v>68410.929999999993</v>
      </c>
      <c r="E131">
        <v>10596</v>
      </c>
      <c r="F131">
        <v>0.20699999999999999</v>
      </c>
      <c r="G131">
        <v>0.81200000000000006</v>
      </c>
      <c r="H131" s="1">
        <v>4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</row>
    <row r="132" spans="1:14">
      <c r="A132" t="s">
        <v>54</v>
      </c>
      <c r="B132" s="3">
        <v>45717</v>
      </c>
      <c r="C132">
        <v>725235.28</v>
      </c>
      <c r="D132">
        <v>50735.63</v>
      </c>
      <c r="E132">
        <v>9619</v>
      </c>
      <c r="F132">
        <v>0.14399999999999999</v>
      </c>
      <c r="G132">
        <v>0.93799999999999994</v>
      </c>
      <c r="H132" s="1">
        <v>4.5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</row>
    <row r="133" spans="1:14">
      <c r="A133" t="s">
        <v>54</v>
      </c>
      <c r="B133" s="3">
        <v>45748</v>
      </c>
      <c r="C133">
        <v>811452.72</v>
      </c>
      <c r="D133">
        <v>66455.8</v>
      </c>
      <c r="E133">
        <v>10836</v>
      </c>
      <c r="F133">
        <v>8.8999999999999996E-2</v>
      </c>
      <c r="G133">
        <v>0.85</v>
      </c>
      <c r="H133" s="1">
        <v>4.5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</row>
    <row r="134" spans="1:14">
      <c r="A134" t="s">
        <v>55</v>
      </c>
      <c r="B134" s="3">
        <v>45658</v>
      </c>
      <c r="C134">
        <v>527300.13</v>
      </c>
      <c r="D134">
        <v>70276.28</v>
      </c>
      <c r="E134">
        <v>3043</v>
      </c>
      <c r="F134">
        <v>7.9000000000000001E-2</v>
      </c>
      <c r="G134">
        <v>0.879</v>
      </c>
      <c r="H134" s="1">
        <v>4.4000000000000004</v>
      </c>
      <c r="I134">
        <v>0</v>
      </c>
      <c r="J134">
        <v>1</v>
      </c>
      <c r="K134">
        <v>0</v>
      </c>
      <c r="L134">
        <v>1</v>
      </c>
      <c r="M134">
        <v>0</v>
      </c>
      <c r="N134">
        <v>0</v>
      </c>
    </row>
    <row r="135" spans="1:14">
      <c r="A135" t="s">
        <v>55</v>
      </c>
      <c r="B135" s="3">
        <v>45689</v>
      </c>
      <c r="C135">
        <v>400831.65</v>
      </c>
      <c r="D135">
        <v>22071.64</v>
      </c>
      <c r="E135">
        <v>1814</v>
      </c>
      <c r="F135">
        <v>0.19600000000000001</v>
      </c>
      <c r="G135">
        <v>0.81099999999999994</v>
      </c>
      <c r="H135" s="10">
        <v>3.92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0</v>
      </c>
    </row>
    <row r="136" spans="1:14">
      <c r="A136" t="s">
        <v>55</v>
      </c>
      <c r="B136" s="3">
        <v>45717</v>
      </c>
      <c r="C136">
        <v>593247.25</v>
      </c>
      <c r="D136">
        <v>52285.45</v>
      </c>
      <c r="E136">
        <v>3618</v>
      </c>
      <c r="F136">
        <v>8.5999999999999993E-2</v>
      </c>
      <c r="G136">
        <v>0.95599999999999996</v>
      </c>
      <c r="H136" s="1">
        <v>4.4000000000000004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0</v>
      </c>
    </row>
    <row r="137" spans="1:14">
      <c r="A137" t="s">
        <v>55</v>
      </c>
      <c r="B137" s="3">
        <v>45748</v>
      </c>
      <c r="C137">
        <v>529075.94999999995</v>
      </c>
      <c r="D137">
        <v>70366.759999999995</v>
      </c>
      <c r="E137">
        <v>1963</v>
      </c>
      <c r="F137">
        <v>0.182</v>
      </c>
      <c r="G137">
        <v>0.89800000000000002</v>
      </c>
      <c r="H137" s="1">
        <v>4.5999999999999996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0</v>
      </c>
    </row>
    <row r="138" spans="1:14">
      <c r="A138" t="s">
        <v>56</v>
      </c>
      <c r="B138" s="3">
        <v>45658</v>
      </c>
      <c r="C138">
        <v>633638.03</v>
      </c>
      <c r="D138">
        <v>71320.66</v>
      </c>
      <c r="E138">
        <v>7888</v>
      </c>
      <c r="F138">
        <v>4.8000000000000001E-2</v>
      </c>
      <c r="G138">
        <v>0.78099999999999992</v>
      </c>
      <c r="H138" s="10">
        <v>3.92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</row>
    <row r="139" spans="1:14">
      <c r="A139" t="s">
        <v>56</v>
      </c>
      <c r="B139" s="3">
        <v>45689</v>
      </c>
      <c r="C139">
        <v>743348.84</v>
      </c>
      <c r="D139">
        <v>75109.67</v>
      </c>
      <c r="E139">
        <v>6244</v>
      </c>
      <c r="F139">
        <v>7.9000000000000001E-2</v>
      </c>
      <c r="G139">
        <v>0.96299999999999997</v>
      </c>
      <c r="H139" s="1">
        <v>3.7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</row>
    <row r="140" spans="1:14">
      <c r="A140" t="s">
        <v>56</v>
      </c>
      <c r="B140" s="3">
        <v>45717</v>
      </c>
      <c r="C140">
        <v>758827.64</v>
      </c>
      <c r="D140">
        <v>69779</v>
      </c>
      <c r="E140">
        <v>6544</v>
      </c>
      <c r="F140">
        <v>0.152</v>
      </c>
      <c r="G140">
        <v>0.90200000000000002</v>
      </c>
      <c r="H140" s="1">
        <v>3.3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0</v>
      </c>
    </row>
    <row r="141" spans="1:14">
      <c r="A141" t="s">
        <v>56</v>
      </c>
      <c r="B141" s="3">
        <v>45748</v>
      </c>
      <c r="C141">
        <v>646559.71</v>
      </c>
      <c r="D141">
        <v>44211.95</v>
      </c>
      <c r="E141">
        <v>5465</v>
      </c>
      <c r="F141">
        <v>0.187</v>
      </c>
      <c r="G141">
        <v>0.9</v>
      </c>
      <c r="H141" s="1">
        <v>3.6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0</v>
      </c>
    </row>
    <row r="142" spans="1:14">
      <c r="A142" t="s">
        <v>57</v>
      </c>
      <c r="B142" s="3">
        <v>45658</v>
      </c>
      <c r="C142">
        <v>715890.53</v>
      </c>
      <c r="D142">
        <v>51430.31</v>
      </c>
      <c r="E142">
        <v>6427</v>
      </c>
      <c r="F142">
        <v>0.23400000000000001</v>
      </c>
      <c r="G142">
        <v>0.88800000000000001</v>
      </c>
      <c r="H142" s="1">
        <v>4.0999999999999996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</row>
    <row r="143" spans="1:14">
      <c r="A143" t="s">
        <v>57</v>
      </c>
      <c r="B143" s="3">
        <v>45689</v>
      </c>
      <c r="C143">
        <v>715097.57</v>
      </c>
      <c r="D143">
        <v>45706.49</v>
      </c>
      <c r="E143">
        <v>6704</v>
      </c>
      <c r="F143">
        <v>3.7999999999999999E-2</v>
      </c>
      <c r="G143">
        <v>0.94200000000000006</v>
      </c>
      <c r="H143" s="1">
        <v>4.2</v>
      </c>
      <c r="I143">
        <v>1</v>
      </c>
      <c r="J143">
        <v>0</v>
      </c>
      <c r="K143">
        <v>0</v>
      </c>
      <c r="L143">
        <v>1</v>
      </c>
      <c r="M143">
        <v>0</v>
      </c>
      <c r="N143">
        <v>0</v>
      </c>
    </row>
    <row r="144" spans="1:14">
      <c r="A144" t="s">
        <v>57</v>
      </c>
      <c r="B144" s="3">
        <v>45717</v>
      </c>
      <c r="C144">
        <v>682639.28</v>
      </c>
      <c r="D144">
        <v>44034.6</v>
      </c>
      <c r="E144">
        <v>5645</v>
      </c>
      <c r="F144">
        <v>6.9000000000000006E-2</v>
      </c>
      <c r="G144">
        <v>0.88500000000000001</v>
      </c>
      <c r="H144" s="1">
        <v>3.8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</row>
    <row r="145" spans="1:14">
      <c r="A145" t="s">
        <v>57</v>
      </c>
      <c r="B145" s="3">
        <v>45748</v>
      </c>
      <c r="C145">
        <v>695098.51</v>
      </c>
      <c r="D145">
        <v>50198.12</v>
      </c>
      <c r="E145">
        <v>6089</v>
      </c>
      <c r="F145">
        <v>0.182</v>
      </c>
      <c r="G145">
        <v>0.94</v>
      </c>
      <c r="H145" s="1">
        <v>3.9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0</v>
      </c>
    </row>
    <row r="146" spans="1:14">
      <c r="A146" t="s">
        <v>58</v>
      </c>
      <c r="B146" s="3">
        <v>45658</v>
      </c>
      <c r="C146">
        <v>577732.56999999995</v>
      </c>
      <c r="D146">
        <v>70488.2</v>
      </c>
      <c r="E146">
        <v>4312</v>
      </c>
      <c r="F146">
        <v>0.16900000000000001</v>
      </c>
      <c r="G146">
        <v>0.90200000000000002</v>
      </c>
      <c r="H146" s="1">
        <v>3.2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0</v>
      </c>
    </row>
    <row r="147" spans="1:14">
      <c r="A147" t="s">
        <v>58</v>
      </c>
      <c r="B147" s="3">
        <v>45689</v>
      </c>
      <c r="C147">
        <v>537058.32999999996</v>
      </c>
      <c r="D147">
        <v>50909.27</v>
      </c>
      <c r="E147">
        <v>3152</v>
      </c>
      <c r="F147">
        <v>0.06</v>
      </c>
      <c r="G147">
        <v>0.93700000000000006</v>
      </c>
      <c r="H147" s="1">
        <v>3.5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</row>
    <row r="148" spans="1:14">
      <c r="A148" t="s">
        <v>58</v>
      </c>
      <c r="B148" s="3">
        <v>45717</v>
      </c>
      <c r="C148">
        <v>601568.87</v>
      </c>
      <c r="D148">
        <v>53351.7</v>
      </c>
      <c r="E148">
        <v>4259</v>
      </c>
      <c r="F148">
        <v>0.156</v>
      </c>
      <c r="G148">
        <v>0.93700000000000006</v>
      </c>
      <c r="H148" s="1">
        <v>3.4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</row>
    <row r="149" spans="1:14">
      <c r="A149" t="s">
        <v>58</v>
      </c>
      <c r="B149" s="3">
        <v>45748</v>
      </c>
      <c r="C149">
        <v>570964.84</v>
      </c>
      <c r="D149">
        <v>60322.400000000001</v>
      </c>
      <c r="E149">
        <v>3350</v>
      </c>
      <c r="F149">
        <v>0.108</v>
      </c>
      <c r="G149">
        <v>0.89400000000000002</v>
      </c>
      <c r="H149" s="1">
        <v>3.4</v>
      </c>
      <c r="I149">
        <v>0</v>
      </c>
      <c r="J149">
        <v>1</v>
      </c>
      <c r="K149">
        <v>0</v>
      </c>
      <c r="L149">
        <v>0</v>
      </c>
      <c r="M149">
        <v>1</v>
      </c>
      <c r="N149">
        <v>0</v>
      </c>
    </row>
    <row r="150" spans="1:14">
      <c r="A150" t="s">
        <v>59</v>
      </c>
      <c r="B150" s="3">
        <v>45658</v>
      </c>
      <c r="C150">
        <v>614024.91</v>
      </c>
      <c r="D150">
        <v>51575.68</v>
      </c>
      <c r="E150">
        <v>5329</v>
      </c>
      <c r="F150">
        <v>4.7E-2</v>
      </c>
      <c r="G150">
        <v>0.88099999999999989</v>
      </c>
      <c r="H150" s="1">
        <v>3.8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59</v>
      </c>
      <c r="B151" s="3">
        <v>45689</v>
      </c>
      <c r="C151">
        <v>712868.35</v>
      </c>
      <c r="D151">
        <v>43319.94</v>
      </c>
      <c r="E151">
        <v>6551</v>
      </c>
      <c r="F151">
        <v>4.3999999999999997E-2</v>
      </c>
      <c r="G151">
        <v>0.99</v>
      </c>
      <c r="H151" s="1">
        <v>4.0999999999999996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</row>
    <row r="152" spans="1:14">
      <c r="A152" t="s">
        <v>59</v>
      </c>
      <c r="B152" s="3">
        <v>45717</v>
      </c>
      <c r="C152">
        <v>696744.15</v>
      </c>
      <c r="D152">
        <v>47093.55</v>
      </c>
      <c r="E152">
        <v>5550</v>
      </c>
      <c r="F152">
        <v>0.1</v>
      </c>
      <c r="G152">
        <v>0.95</v>
      </c>
      <c r="H152" s="1">
        <v>3.7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</row>
    <row r="153" spans="1:14">
      <c r="A153" t="s">
        <v>59</v>
      </c>
      <c r="B153" s="3">
        <v>45748</v>
      </c>
      <c r="C153">
        <v>725847.99</v>
      </c>
      <c r="D153">
        <v>71855.09</v>
      </c>
      <c r="E153">
        <v>5911</v>
      </c>
      <c r="F153">
        <v>0.19700000000000001</v>
      </c>
      <c r="G153">
        <v>0.94299999999999995</v>
      </c>
      <c r="H153" s="1">
        <v>4.0999999999999996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</row>
    <row r="154" spans="1:14">
      <c r="A154" t="s">
        <v>60</v>
      </c>
      <c r="B154" s="3">
        <v>45658</v>
      </c>
      <c r="C154">
        <v>785028.25</v>
      </c>
      <c r="D154">
        <v>75645.23</v>
      </c>
      <c r="E154">
        <v>9674</v>
      </c>
      <c r="F154">
        <v>0.23400000000000001</v>
      </c>
      <c r="G154">
        <v>0.87400000000000011</v>
      </c>
      <c r="H154" s="1">
        <v>4.5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</row>
    <row r="155" spans="1:14">
      <c r="A155" t="s">
        <v>60</v>
      </c>
      <c r="B155" s="3">
        <v>45689</v>
      </c>
      <c r="C155">
        <v>698492.67</v>
      </c>
      <c r="D155">
        <v>64374.75</v>
      </c>
      <c r="E155">
        <v>6740</v>
      </c>
      <c r="F155">
        <v>0.16900000000000001</v>
      </c>
      <c r="G155">
        <v>0.87</v>
      </c>
      <c r="H155" s="1">
        <v>4.2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</row>
    <row r="156" spans="1:14">
      <c r="A156" t="s">
        <v>60</v>
      </c>
      <c r="B156" s="3">
        <v>45717</v>
      </c>
      <c r="C156">
        <v>685830.24</v>
      </c>
      <c r="D156">
        <v>61433.84</v>
      </c>
      <c r="E156">
        <v>7745</v>
      </c>
      <c r="F156">
        <v>0.18</v>
      </c>
      <c r="G156">
        <v>0.90500000000000003</v>
      </c>
      <c r="H156" s="1">
        <v>4.2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</row>
    <row r="157" spans="1:14">
      <c r="A157" t="s">
        <v>60</v>
      </c>
      <c r="B157" s="3">
        <v>45748</v>
      </c>
      <c r="C157">
        <v>702318.94</v>
      </c>
      <c r="D157">
        <v>42698.14</v>
      </c>
      <c r="E157">
        <v>7693</v>
      </c>
      <c r="F157">
        <v>0.187</v>
      </c>
      <c r="G157">
        <v>0.90099999999999991</v>
      </c>
      <c r="H157" s="1">
        <v>4.4000000000000004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</row>
    <row r="158" spans="1:14">
      <c r="A158" t="s">
        <v>61</v>
      </c>
      <c r="B158" s="3">
        <v>45658</v>
      </c>
      <c r="C158">
        <v>700078.32</v>
      </c>
      <c r="D158">
        <v>86883.31</v>
      </c>
      <c r="E158">
        <v>6424</v>
      </c>
      <c r="F158">
        <v>5.7000000000000002E-2</v>
      </c>
      <c r="G158">
        <v>0.85199999999999998</v>
      </c>
      <c r="H158" s="1">
        <v>3.9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61</v>
      </c>
      <c r="B159" s="3">
        <v>45689</v>
      </c>
      <c r="C159">
        <v>602002.31999999995</v>
      </c>
      <c r="D159">
        <v>41863.08</v>
      </c>
      <c r="E159">
        <v>5400</v>
      </c>
      <c r="F159">
        <v>0.114</v>
      </c>
      <c r="G159">
        <v>0.91599999999999993</v>
      </c>
      <c r="H159" s="1">
        <v>3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61</v>
      </c>
      <c r="B160" s="3">
        <v>45717</v>
      </c>
      <c r="C160">
        <v>724216.07</v>
      </c>
      <c r="D160">
        <v>56918.16</v>
      </c>
      <c r="E160">
        <v>7015</v>
      </c>
      <c r="F160">
        <v>0.158</v>
      </c>
      <c r="G160">
        <v>0.74199999999999999</v>
      </c>
      <c r="H160" s="1">
        <v>3.4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61</v>
      </c>
      <c r="B161" s="3">
        <v>45748</v>
      </c>
      <c r="C161">
        <v>620973.03</v>
      </c>
      <c r="D161">
        <v>23254.57</v>
      </c>
      <c r="E161">
        <v>3847</v>
      </c>
      <c r="F161">
        <v>0.159</v>
      </c>
      <c r="G161">
        <v>0.93</v>
      </c>
      <c r="H161" s="1">
        <v>3.3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62</v>
      </c>
      <c r="B162" s="3">
        <v>45658</v>
      </c>
      <c r="C162">
        <v>650480.06000000006</v>
      </c>
      <c r="D162">
        <v>41443.410000000003</v>
      </c>
      <c r="E162">
        <v>7455</v>
      </c>
      <c r="F162">
        <v>0.17499999999999999</v>
      </c>
      <c r="G162">
        <v>0.90099999999999991</v>
      </c>
      <c r="H162" s="1">
        <v>4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0</v>
      </c>
    </row>
    <row r="163" spans="1:14">
      <c r="A163" t="s">
        <v>62</v>
      </c>
      <c r="B163" s="3">
        <v>45689</v>
      </c>
      <c r="C163">
        <v>778298.88</v>
      </c>
      <c r="D163">
        <v>48438.85</v>
      </c>
      <c r="E163">
        <v>6992</v>
      </c>
      <c r="F163">
        <v>3.4000000000000002E-2</v>
      </c>
      <c r="G163">
        <v>0.91</v>
      </c>
      <c r="H163" s="1">
        <v>4.2</v>
      </c>
      <c r="I163">
        <v>0</v>
      </c>
      <c r="J163">
        <v>0</v>
      </c>
      <c r="K163">
        <v>1</v>
      </c>
      <c r="L163">
        <v>1</v>
      </c>
      <c r="M163">
        <v>0</v>
      </c>
      <c r="N163">
        <v>0</v>
      </c>
    </row>
    <row r="164" spans="1:14">
      <c r="A164" t="s">
        <v>62</v>
      </c>
      <c r="B164" s="3">
        <v>45717</v>
      </c>
      <c r="C164">
        <v>677096.71</v>
      </c>
      <c r="D164">
        <v>57143.3</v>
      </c>
      <c r="E164">
        <v>8038</v>
      </c>
      <c r="F164">
        <v>0.193</v>
      </c>
      <c r="G164">
        <v>0.72599999999999998</v>
      </c>
      <c r="H164" s="1">
        <v>4.2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0</v>
      </c>
    </row>
    <row r="165" spans="1:14">
      <c r="A165" t="s">
        <v>62</v>
      </c>
      <c r="B165" s="3">
        <v>45748</v>
      </c>
      <c r="C165">
        <v>692008.64</v>
      </c>
      <c r="D165">
        <v>66870.62</v>
      </c>
      <c r="E165">
        <v>6055</v>
      </c>
      <c r="F165">
        <v>7.4999999999999997E-2</v>
      </c>
      <c r="G165">
        <v>0.93799999999999994</v>
      </c>
      <c r="H165" s="1">
        <v>4.3</v>
      </c>
      <c r="I165">
        <v>0</v>
      </c>
      <c r="J165">
        <v>0</v>
      </c>
      <c r="K165">
        <v>1</v>
      </c>
      <c r="L165">
        <v>1</v>
      </c>
      <c r="M165">
        <v>0</v>
      </c>
      <c r="N165">
        <v>0</v>
      </c>
    </row>
    <row r="166" spans="1:14">
      <c r="A166" t="s">
        <v>63</v>
      </c>
      <c r="B166" s="3">
        <v>45658</v>
      </c>
      <c r="C166">
        <v>825797.91</v>
      </c>
      <c r="D166">
        <v>72150.53</v>
      </c>
      <c r="E166">
        <v>9323</v>
      </c>
      <c r="F166">
        <v>0.157</v>
      </c>
      <c r="G166">
        <v>0.82900000000000007</v>
      </c>
      <c r="H166" s="1">
        <v>4.3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63</v>
      </c>
      <c r="B167" s="3">
        <v>45689</v>
      </c>
      <c r="C167">
        <v>706285.52</v>
      </c>
      <c r="D167">
        <v>35303.300000000003</v>
      </c>
      <c r="E167">
        <v>8789</v>
      </c>
      <c r="F167">
        <v>0.123</v>
      </c>
      <c r="G167">
        <v>0.86099999999999999</v>
      </c>
      <c r="H167" s="1">
        <v>4.2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63</v>
      </c>
      <c r="B168" s="3">
        <v>45717</v>
      </c>
      <c r="C168">
        <v>665534.69999999995</v>
      </c>
      <c r="D168">
        <v>30301.86</v>
      </c>
      <c r="E168">
        <v>6939</v>
      </c>
      <c r="F168">
        <v>0.09</v>
      </c>
      <c r="G168">
        <v>0.90300000000000002</v>
      </c>
      <c r="H168" s="1">
        <v>4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63</v>
      </c>
      <c r="B169" s="3">
        <v>45748</v>
      </c>
      <c r="C169">
        <v>820729.29</v>
      </c>
      <c r="D169">
        <v>78432.14</v>
      </c>
      <c r="E169">
        <v>9440</v>
      </c>
      <c r="F169">
        <v>0.126</v>
      </c>
      <c r="G169">
        <v>0.89200000000000002</v>
      </c>
      <c r="H169" s="1">
        <v>4.0999999999999996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64</v>
      </c>
      <c r="B170" s="3">
        <v>45658</v>
      </c>
      <c r="C170">
        <v>739831.73</v>
      </c>
      <c r="D170">
        <v>62059.18</v>
      </c>
      <c r="E170">
        <v>9374</v>
      </c>
      <c r="F170">
        <v>0.13600000000000001</v>
      </c>
      <c r="G170">
        <v>0.871</v>
      </c>
      <c r="H170" s="1">
        <v>4.9000000000000004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</row>
    <row r="171" spans="1:14">
      <c r="A171" t="s">
        <v>64</v>
      </c>
      <c r="B171" s="3">
        <v>45689</v>
      </c>
      <c r="C171">
        <v>593637.14</v>
      </c>
      <c r="D171">
        <v>32834.480000000003</v>
      </c>
      <c r="E171">
        <v>7576</v>
      </c>
      <c r="F171">
        <v>9.9000000000000005E-2</v>
      </c>
      <c r="G171">
        <v>0.84099999999999997</v>
      </c>
      <c r="H171" s="1">
        <v>5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</row>
    <row r="172" spans="1:14">
      <c r="A172" t="s">
        <v>64</v>
      </c>
      <c r="B172" s="3">
        <v>45717</v>
      </c>
      <c r="C172">
        <v>769702.76</v>
      </c>
      <c r="D172">
        <v>50825.08</v>
      </c>
      <c r="E172">
        <v>8949</v>
      </c>
      <c r="F172">
        <v>0.157</v>
      </c>
      <c r="G172">
        <v>0.84699999999999998</v>
      </c>
      <c r="H172" s="1">
        <v>4.9000000000000004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</row>
    <row r="173" spans="1:14">
      <c r="A173" t="s">
        <v>64</v>
      </c>
      <c r="B173" s="3">
        <v>45748</v>
      </c>
      <c r="C173">
        <v>679731.57</v>
      </c>
      <c r="D173">
        <v>36606.51</v>
      </c>
      <c r="E173">
        <v>7671</v>
      </c>
      <c r="F173">
        <v>0.11799999999999999</v>
      </c>
      <c r="G173">
        <v>0.89800000000000002</v>
      </c>
      <c r="H173" s="1">
        <v>4.4000000000000004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</row>
    <row r="174" spans="1:14">
      <c r="A174" t="s">
        <v>65</v>
      </c>
      <c r="B174" s="3">
        <v>45658</v>
      </c>
      <c r="C174">
        <v>780344.18</v>
      </c>
      <c r="D174">
        <v>65237.79</v>
      </c>
      <c r="E174">
        <v>8741</v>
      </c>
      <c r="F174">
        <v>0.157</v>
      </c>
      <c r="G174">
        <v>0.94400000000000006</v>
      </c>
      <c r="H174" s="1">
        <v>3.3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</row>
    <row r="175" spans="1:14">
      <c r="A175" t="s">
        <v>65</v>
      </c>
      <c r="B175" s="3">
        <v>45689</v>
      </c>
      <c r="C175">
        <v>721364.11</v>
      </c>
      <c r="D175">
        <v>43645.98</v>
      </c>
      <c r="E175">
        <v>9480</v>
      </c>
      <c r="F175">
        <v>0.109</v>
      </c>
      <c r="G175">
        <v>0.89</v>
      </c>
      <c r="H175" s="1">
        <v>3.1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</row>
    <row r="176" spans="1:14">
      <c r="A176" t="s">
        <v>65</v>
      </c>
      <c r="B176" s="3">
        <v>45717</v>
      </c>
      <c r="C176">
        <v>758138.29</v>
      </c>
      <c r="D176">
        <v>68040.149999999994</v>
      </c>
      <c r="E176">
        <v>9826</v>
      </c>
      <c r="F176">
        <v>0.125</v>
      </c>
      <c r="G176">
        <v>0.83900000000000008</v>
      </c>
      <c r="H176" s="1">
        <v>3.6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</row>
    <row r="177" spans="1:14">
      <c r="A177" t="s">
        <v>65</v>
      </c>
      <c r="B177" s="3">
        <v>45748</v>
      </c>
      <c r="C177">
        <v>804264</v>
      </c>
      <c r="D177">
        <v>63043.94</v>
      </c>
      <c r="E177">
        <v>10402</v>
      </c>
      <c r="F177">
        <v>0.159</v>
      </c>
      <c r="G177">
        <v>0.93900000000000006</v>
      </c>
      <c r="H177" s="1">
        <v>3.1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</row>
    <row r="178" spans="1:14">
      <c r="A178" t="s">
        <v>66</v>
      </c>
      <c r="B178" s="3">
        <v>45658</v>
      </c>
      <c r="C178">
        <v>887537.75</v>
      </c>
      <c r="D178">
        <v>67494.09</v>
      </c>
      <c r="E178">
        <v>12361</v>
      </c>
      <c r="F178">
        <v>4.5999999999999999E-2</v>
      </c>
      <c r="G178">
        <v>0.7659999999999999</v>
      </c>
      <c r="H178" s="1">
        <v>3.7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1</v>
      </c>
    </row>
    <row r="179" spans="1:14">
      <c r="A179" t="s">
        <v>66</v>
      </c>
      <c r="B179" s="3">
        <v>45689</v>
      </c>
      <c r="C179">
        <v>783582</v>
      </c>
      <c r="D179">
        <v>29389.32</v>
      </c>
      <c r="E179">
        <v>7925</v>
      </c>
      <c r="F179">
        <v>0.17699999999999999</v>
      </c>
      <c r="G179">
        <v>0.90900000000000003</v>
      </c>
      <c r="H179" s="1">
        <v>4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</v>
      </c>
    </row>
    <row r="180" spans="1:14">
      <c r="A180" t="s">
        <v>66</v>
      </c>
      <c r="B180" s="3">
        <v>45717</v>
      </c>
      <c r="C180">
        <v>781955.52</v>
      </c>
      <c r="D180">
        <v>40535.089999999997</v>
      </c>
      <c r="E180">
        <v>8870</v>
      </c>
      <c r="F180">
        <v>4.1000000000000002E-2</v>
      </c>
      <c r="G180">
        <v>0.86599999999999999</v>
      </c>
      <c r="H180" s="1">
        <v>4.0999999999999996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</row>
    <row r="181" spans="1:14">
      <c r="A181" t="s">
        <v>66</v>
      </c>
      <c r="B181" s="3">
        <v>45748</v>
      </c>
      <c r="C181">
        <v>898031.04</v>
      </c>
      <c r="D181">
        <v>74881.56</v>
      </c>
      <c r="E181">
        <v>9999</v>
      </c>
      <c r="F181">
        <v>1.2999999999999999E-2</v>
      </c>
      <c r="G181">
        <v>0.89599999999999991</v>
      </c>
      <c r="H181" s="1">
        <v>4.0999999999999996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</v>
      </c>
    </row>
    <row r="182" spans="1:14">
      <c r="A182" t="s">
        <v>67</v>
      </c>
      <c r="B182" s="3">
        <v>45658</v>
      </c>
      <c r="C182">
        <v>855341.28</v>
      </c>
      <c r="D182">
        <v>68491.11</v>
      </c>
      <c r="E182">
        <v>11154</v>
      </c>
      <c r="F182">
        <v>1E-3</v>
      </c>
      <c r="G182">
        <v>0.89400000000000002</v>
      </c>
      <c r="H182" s="1">
        <v>3.9</v>
      </c>
      <c r="I182">
        <v>1</v>
      </c>
      <c r="J182">
        <v>0</v>
      </c>
      <c r="K182">
        <v>0</v>
      </c>
      <c r="L182">
        <v>0</v>
      </c>
      <c r="M182">
        <v>1</v>
      </c>
      <c r="N182">
        <v>0</v>
      </c>
    </row>
    <row r="183" spans="1:14">
      <c r="A183" t="s">
        <v>67</v>
      </c>
      <c r="B183" s="3">
        <v>45689</v>
      </c>
      <c r="C183">
        <v>751393.88</v>
      </c>
      <c r="D183">
        <v>45209.25</v>
      </c>
      <c r="E183">
        <v>9287</v>
      </c>
      <c r="F183">
        <v>0.14099999999999999</v>
      </c>
      <c r="G183">
        <v>0.8640000000000001</v>
      </c>
      <c r="H183" s="1">
        <v>3.6</v>
      </c>
      <c r="I183">
        <v>1</v>
      </c>
      <c r="J183">
        <v>0</v>
      </c>
      <c r="K183">
        <v>0</v>
      </c>
      <c r="L183">
        <v>0</v>
      </c>
      <c r="M183">
        <v>1</v>
      </c>
      <c r="N183">
        <v>0</v>
      </c>
    </row>
    <row r="184" spans="1:14">
      <c r="A184" t="s">
        <v>67</v>
      </c>
      <c r="B184" s="3">
        <v>45717</v>
      </c>
      <c r="C184">
        <v>761077.08</v>
      </c>
      <c r="D184">
        <v>63010.23</v>
      </c>
      <c r="E184">
        <v>9812</v>
      </c>
      <c r="F184">
        <v>0.113</v>
      </c>
      <c r="G184">
        <v>0.76800000000000002</v>
      </c>
      <c r="H184" s="1">
        <v>3.8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0</v>
      </c>
    </row>
    <row r="185" spans="1:14">
      <c r="A185" t="s">
        <v>67</v>
      </c>
      <c r="B185" s="3">
        <v>45748</v>
      </c>
      <c r="C185">
        <v>819660.59</v>
      </c>
      <c r="D185">
        <v>57948.88</v>
      </c>
      <c r="E185">
        <v>10741</v>
      </c>
      <c r="F185">
        <v>7.0000000000000007E-2</v>
      </c>
      <c r="G185">
        <v>0.90099999999999991</v>
      </c>
      <c r="H185" s="1">
        <v>3.1</v>
      </c>
      <c r="I185">
        <v>1</v>
      </c>
      <c r="J185">
        <v>0</v>
      </c>
      <c r="K185">
        <v>0</v>
      </c>
      <c r="L185">
        <v>0</v>
      </c>
      <c r="M185">
        <v>1</v>
      </c>
      <c r="N185">
        <v>0</v>
      </c>
    </row>
    <row r="186" spans="1:14">
      <c r="A186" t="s">
        <v>68</v>
      </c>
      <c r="B186" s="3">
        <v>45658</v>
      </c>
      <c r="C186">
        <v>681855.56</v>
      </c>
      <c r="D186">
        <v>71941.62</v>
      </c>
      <c r="E186">
        <v>6084</v>
      </c>
      <c r="F186">
        <v>7.1999999999999995E-2</v>
      </c>
      <c r="G186">
        <v>0.93700000000000006</v>
      </c>
      <c r="H186" s="1">
        <v>4.4000000000000004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</row>
    <row r="187" spans="1:14">
      <c r="A187" t="s">
        <v>68</v>
      </c>
      <c r="B187" s="3">
        <v>45689</v>
      </c>
      <c r="C187">
        <v>678311.17</v>
      </c>
      <c r="D187">
        <v>57147.88</v>
      </c>
      <c r="E187">
        <v>5252</v>
      </c>
      <c r="F187">
        <v>0.161</v>
      </c>
      <c r="G187">
        <v>0.95499999999999996</v>
      </c>
      <c r="H187" s="1">
        <v>4.4000000000000004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</row>
    <row r="188" spans="1:14">
      <c r="A188" t="s">
        <v>68</v>
      </c>
      <c r="B188" s="3">
        <v>45717</v>
      </c>
      <c r="C188">
        <v>765906.95</v>
      </c>
      <c r="D188">
        <v>48031.74</v>
      </c>
      <c r="E188">
        <v>6516</v>
      </c>
      <c r="F188">
        <v>6.7000000000000004E-2</v>
      </c>
      <c r="G188">
        <v>0.99</v>
      </c>
      <c r="H188" s="1">
        <v>4.3</v>
      </c>
      <c r="I188">
        <v>0</v>
      </c>
      <c r="J188">
        <v>1</v>
      </c>
      <c r="K188">
        <v>0</v>
      </c>
      <c r="L188">
        <v>1</v>
      </c>
      <c r="M188">
        <v>0</v>
      </c>
      <c r="N188">
        <v>0</v>
      </c>
    </row>
    <row r="189" spans="1:14">
      <c r="A189" t="s">
        <v>68</v>
      </c>
      <c r="B189" s="3">
        <v>45748</v>
      </c>
      <c r="C189">
        <v>712546.38</v>
      </c>
      <c r="D189">
        <v>72784.800000000003</v>
      </c>
      <c r="E189">
        <v>7932</v>
      </c>
      <c r="F189">
        <v>9.4E-2</v>
      </c>
      <c r="G189">
        <v>0.74900000000000011</v>
      </c>
      <c r="H189" s="1">
        <v>4.2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</row>
    <row r="190" spans="1:14">
      <c r="A190" t="s">
        <v>69</v>
      </c>
      <c r="B190" s="3">
        <v>45658</v>
      </c>
      <c r="C190">
        <v>625993.82999999996</v>
      </c>
      <c r="D190">
        <v>71641.899999999994</v>
      </c>
      <c r="E190">
        <v>3506</v>
      </c>
      <c r="F190">
        <v>0</v>
      </c>
      <c r="G190">
        <v>0.8640000000000001</v>
      </c>
      <c r="H190" s="1">
        <v>4.0999999999999996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</row>
    <row r="191" spans="1:14">
      <c r="A191" t="s">
        <v>69</v>
      </c>
      <c r="B191" s="3">
        <v>45689</v>
      </c>
      <c r="C191">
        <v>550962.93000000005</v>
      </c>
      <c r="D191">
        <v>55788.61</v>
      </c>
      <c r="E191">
        <v>2312</v>
      </c>
      <c r="F191">
        <v>5.8000000000000003E-2</v>
      </c>
      <c r="G191">
        <v>0.91299999999999992</v>
      </c>
      <c r="H191" s="1">
        <v>3.8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</row>
    <row r="192" spans="1:14">
      <c r="A192" t="s">
        <v>69</v>
      </c>
      <c r="B192" s="3">
        <v>45717</v>
      </c>
      <c r="C192">
        <v>443275.59</v>
      </c>
      <c r="D192">
        <v>37705.879999999997</v>
      </c>
      <c r="E192">
        <v>1268</v>
      </c>
      <c r="F192">
        <v>0.25900000000000001</v>
      </c>
      <c r="G192">
        <v>0.84099999999999997</v>
      </c>
      <c r="H192" s="1">
        <v>3.8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</row>
    <row r="193" spans="1:14">
      <c r="A193" t="s">
        <v>69</v>
      </c>
      <c r="B193" s="3">
        <v>45748</v>
      </c>
      <c r="C193">
        <v>554012.06999999995</v>
      </c>
      <c r="D193">
        <v>54966.18</v>
      </c>
      <c r="E193">
        <v>4423</v>
      </c>
      <c r="F193">
        <v>0.186</v>
      </c>
      <c r="G193">
        <v>0.88700000000000001</v>
      </c>
      <c r="H193" s="1">
        <v>4.4000000000000004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</row>
    <row r="194" spans="1:14">
      <c r="A194" t="s">
        <v>70</v>
      </c>
      <c r="B194" s="3">
        <v>45658</v>
      </c>
      <c r="C194">
        <v>643428.85</v>
      </c>
      <c r="D194">
        <v>81796.740000000005</v>
      </c>
      <c r="E194">
        <v>6177</v>
      </c>
      <c r="F194">
        <v>0.16400000000000001</v>
      </c>
      <c r="G194">
        <v>0.879</v>
      </c>
      <c r="H194" s="1">
        <v>3.2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0</v>
      </c>
    </row>
    <row r="195" spans="1:14">
      <c r="A195" t="s">
        <v>70</v>
      </c>
      <c r="B195" s="3">
        <v>45689</v>
      </c>
      <c r="C195">
        <v>611924.27</v>
      </c>
      <c r="D195">
        <v>51133.43</v>
      </c>
      <c r="E195">
        <v>5150</v>
      </c>
      <c r="F195">
        <v>0.15</v>
      </c>
      <c r="G195">
        <v>0.88500000000000001</v>
      </c>
      <c r="H195" s="1">
        <v>3.2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0</v>
      </c>
    </row>
    <row r="196" spans="1:14">
      <c r="A196" t="s">
        <v>70</v>
      </c>
      <c r="B196" s="3">
        <v>45717</v>
      </c>
      <c r="C196">
        <v>559422.02</v>
      </c>
      <c r="D196">
        <v>40220.18</v>
      </c>
      <c r="E196">
        <v>3783</v>
      </c>
      <c r="F196">
        <v>8.8999999999999996E-2</v>
      </c>
      <c r="G196">
        <v>0.86599999999999999</v>
      </c>
      <c r="H196" s="1">
        <v>3.7</v>
      </c>
      <c r="I196">
        <v>1</v>
      </c>
      <c r="J196">
        <v>0</v>
      </c>
      <c r="K196">
        <v>0</v>
      </c>
      <c r="L196">
        <v>0</v>
      </c>
      <c r="M196">
        <v>1</v>
      </c>
      <c r="N196">
        <v>0</v>
      </c>
    </row>
    <row r="197" spans="1:14">
      <c r="A197" t="s">
        <v>70</v>
      </c>
      <c r="B197" s="3">
        <v>45748</v>
      </c>
      <c r="C197">
        <v>449465.06</v>
      </c>
      <c r="D197">
        <v>41657.64</v>
      </c>
      <c r="E197">
        <v>3135</v>
      </c>
      <c r="F197">
        <v>0.22900000000000001</v>
      </c>
      <c r="G197">
        <v>0.85400000000000009</v>
      </c>
      <c r="H197" s="10">
        <v>3.92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0</v>
      </c>
    </row>
    <row r="198" spans="1:14">
      <c r="A198" t="s">
        <v>71</v>
      </c>
      <c r="B198" s="3">
        <v>45658</v>
      </c>
      <c r="C198">
        <v>691447.43</v>
      </c>
      <c r="D198">
        <v>71851.45</v>
      </c>
      <c r="E198">
        <v>4970</v>
      </c>
      <c r="F198">
        <v>9.8000000000000004E-2</v>
      </c>
      <c r="G198">
        <v>0.89599999999999991</v>
      </c>
      <c r="H198" s="1">
        <v>4.2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0</v>
      </c>
    </row>
    <row r="199" spans="1:14">
      <c r="A199" t="s">
        <v>71</v>
      </c>
      <c r="B199" s="3">
        <v>45689</v>
      </c>
      <c r="C199">
        <v>574066.61</v>
      </c>
      <c r="D199">
        <v>54002.83</v>
      </c>
      <c r="E199">
        <v>4366</v>
      </c>
      <c r="F199">
        <v>2.7E-2</v>
      </c>
      <c r="G199">
        <v>0.90599999999999992</v>
      </c>
      <c r="H199" s="1">
        <v>4.5999999999999996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0</v>
      </c>
    </row>
    <row r="200" spans="1:14">
      <c r="A200" t="s">
        <v>71</v>
      </c>
      <c r="B200" s="3">
        <v>45717</v>
      </c>
      <c r="C200">
        <v>578949.84</v>
      </c>
      <c r="D200">
        <v>54479.33</v>
      </c>
      <c r="E200">
        <v>5012</v>
      </c>
      <c r="F200">
        <v>0.28399999999999997</v>
      </c>
      <c r="G200">
        <v>0.86</v>
      </c>
      <c r="H200" s="1">
        <v>4.3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0</v>
      </c>
    </row>
    <row r="201" spans="1:14">
      <c r="A201" t="s">
        <v>71</v>
      </c>
      <c r="B201" s="3">
        <v>45748</v>
      </c>
      <c r="C201">
        <v>735786.64</v>
      </c>
      <c r="D201">
        <v>61391.8</v>
      </c>
      <c r="E201">
        <v>5575</v>
      </c>
      <c r="F201">
        <v>0.189</v>
      </c>
      <c r="G201">
        <v>0.9</v>
      </c>
      <c r="H201" s="1">
        <v>4.8</v>
      </c>
      <c r="I201">
        <v>0</v>
      </c>
      <c r="J201">
        <v>1</v>
      </c>
      <c r="K201">
        <v>0</v>
      </c>
      <c r="L201">
        <v>0</v>
      </c>
      <c r="M201">
        <v>1</v>
      </c>
      <c r="N201">
        <v>0</v>
      </c>
    </row>
    <row r="202" spans="1:14">
      <c r="A202" t="s">
        <v>72</v>
      </c>
      <c r="B202" s="3">
        <v>45658</v>
      </c>
      <c r="C202">
        <v>598904.9</v>
      </c>
      <c r="D202">
        <v>22312.93</v>
      </c>
      <c r="E202">
        <v>5955</v>
      </c>
      <c r="F202">
        <v>0.123</v>
      </c>
      <c r="G202">
        <v>0.84200000000000008</v>
      </c>
      <c r="H202" s="1">
        <v>4.5999999999999996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</row>
    <row r="203" spans="1:14">
      <c r="A203" t="s">
        <v>72</v>
      </c>
      <c r="B203" s="3">
        <v>45689</v>
      </c>
      <c r="C203">
        <v>787715.51</v>
      </c>
      <c r="D203">
        <v>78111.97</v>
      </c>
      <c r="E203">
        <v>6389</v>
      </c>
      <c r="F203">
        <v>0.15</v>
      </c>
      <c r="G203">
        <v>0.83900000000000008</v>
      </c>
      <c r="H203" s="1">
        <v>4.8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</row>
    <row r="204" spans="1:14">
      <c r="A204" t="s">
        <v>72</v>
      </c>
      <c r="B204" s="3">
        <v>45717</v>
      </c>
      <c r="C204">
        <v>607084.92000000004</v>
      </c>
      <c r="D204">
        <v>35203.230000000003</v>
      </c>
      <c r="E204">
        <v>6896</v>
      </c>
      <c r="F204">
        <v>3.2000000000000001E-2</v>
      </c>
      <c r="G204">
        <v>0.80799999999999994</v>
      </c>
      <c r="H204" s="1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</row>
    <row r="205" spans="1:14">
      <c r="A205" t="s">
        <v>72</v>
      </c>
      <c r="B205" s="3">
        <v>45748</v>
      </c>
      <c r="C205">
        <v>650795.49</v>
      </c>
      <c r="D205">
        <v>64104.28</v>
      </c>
      <c r="E205">
        <v>6015</v>
      </c>
      <c r="F205">
        <v>0.127</v>
      </c>
      <c r="G205">
        <v>0.88700000000000001</v>
      </c>
      <c r="H205" s="1">
        <v>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</row>
    <row r="206" spans="1:14">
      <c r="A206" t="s">
        <v>73</v>
      </c>
      <c r="B206" s="3">
        <v>45658</v>
      </c>
      <c r="C206">
        <v>825060.52</v>
      </c>
      <c r="D206">
        <v>92090.14</v>
      </c>
      <c r="E206">
        <v>9476</v>
      </c>
      <c r="F206">
        <v>7.0000000000000007E-2</v>
      </c>
      <c r="G206">
        <v>0.94299999999999995</v>
      </c>
      <c r="H206" s="1">
        <v>3.7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73</v>
      </c>
      <c r="B207" s="3">
        <v>45689</v>
      </c>
      <c r="C207">
        <v>795464.47</v>
      </c>
      <c r="D207">
        <v>54300.87</v>
      </c>
      <c r="E207">
        <v>7875</v>
      </c>
      <c r="F207">
        <v>0.107</v>
      </c>
      <c r="G207">
        <v>0.94099999999999995</v>
      </c>
      <c r="H207" s="1">
        <v>3.7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73</v>
      </c>
      <c r="B208" s="3">
        <v>45717</v>
      </c>
      <c r="C208">
        <v>671868.59</v>
      </c>
      <c r="D208">
        <v>37983.35</v>
      </c>
      <c r="E208">
        <v>9283</v>
      </c>
      <c r="F208">
        <v>0.14899999999999999</v>
      </c>
      <c r="G208">
        <v>0.83200000000000007</v>
      </c>
      <c r="H208" s="1">
        <v>3.7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73</v>
      </c>
      <c r="B209" s="3">
        <v>45748</v>
      </c>
      <c r="C209">
        <v>675917.63</v>
      </c>
      <c r="D209">
        <v>56413.83</v>
      </c>
      <c r="E209">
        <v>8303</v>
      </c>
      <c r="F209">
        <v>0.11600000000000001</v>
      </c>
      <c r="G209">
        <v>0.93599999999999994</v>
      </c>
      <c r="H209" s="1">
        <v>3.7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74</v>
      </c>
      <c r="B210" s="3">
        <v>45658</v>
      </c>
      <c r="C210">
        <v>810446.53</v>
      </c>
      <c r="D210">
        <v>63457.19</v>
      </c>
      <c r="E210">
        <v>10125</v>
      </c>
      <c r="F210">
        <v>9.7000000000000003E-2</v>
      </c>
      <c r="G210">
        <v>0.87</v>
      </c>
      <c r="H210" s="1">
        <v>3.7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</row>
    <row r="211" spans="1:14">
      <c r="A211" t="s">
        <v>74</v>
      </c>
      <c r="B211" s="3">
        <v>45689</v>
      </c>
      <c r="C211">
        <v>691288.19</v>
      </c>
      <c r="D211">
        <v>62949.7</v>
      </c>
      <c r="E211">
        <v>9458</v>
      </c>
      <c r="F211">
        <v>0.17100000000000001</v>
      </c>
      <c r="G211">
        <v>0.84900000000000009</v>
      </c>
      <c r="H211" s="1">
        <v>3.3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</row>
    <row r="212" spans="1:14">
      <c r="A212" t="s">
        <v>74</v>
      </c>
      <c r="B212" s="3">
        <v>45717</v>
      </c>
      <c r="C212">
        <v>946833.54</v>
      </c>
      <c r="D212">
        <v>107970.19</v>
      </c>
      <c r="E212">
        <v>12870</v>
      </c>
      <c r="F212">
        <v>2.9000000000000001E-2</v>
      </c>
      <c r="G212">
        <v>0.91700000000000004</v>
      </c>
      <c r="H212" s="1">
        <v>3.7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</row>
    <row r="213" spans="1:14">
      <c r="A213" t="s">
        <v>74</v>
      </c>
      <c r="B213" s="3">
        <v>45748</v>
      </c>
      <c r="C213">
        <v>761963.23</v>
      </c>
      <c r="D213">
        <v>49405.75</v>
      </c>
      <c r="E213">
        <v>9752</v>
      </c>
      <c r="F213">
        <v>9.2999999999999999E-2</v>
      </c>
      <c r="G213">
        <v>0.87</v>
      </c>
      <c r="H213" s="1">
        <v>4.0999999999999996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</row>
    <row r="214" spans="1:14">
      <c r="A214" t="s">
        <v>75</v>
      </c>
      <c r="B214" s="3">
        <v>45658</v>
      </c>
      <c r="C214">
        <v>812152.6</v>
      </c>
      <c r="D214">
        <v>50887.46</v>
      </c>
      <c r="E214">
        <v>9505</v>
      </c>
      <c r="F214">
        <v>9.0999999999999998E-2</v>
      </c>
      <c r="G214">
        <v>0.89700000000000002</v>
      </c>
      <c r="H214" s="1">
        <v>4.3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0</v>
      </c>
    </row>
    <row r="215" spans="1:14">
      <c r="A215" t="s">
        <v>75</v>
      </c>
      <c r="B215" s="3">
        <v>45689</v>
      </c>
      <c r="C215">
        <v>804975.5</v>
      </c>
      <c r="D215">
        <v>41819.449999999997</v>
      </c>
      <c r="E215">
        <v>9412</v>
      </c>
      <c r="F215">
        <v>0.15</v>
      </c>
      <c r="G215">
        <v>0.91</v>
      </c>
      <c r="H215" s="1">
        <v>4.2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0</v>
      </c>
    </row>
    <row r="216" spans="1:14">
      <c r="A216" t="s">
        <v>75</v>
      </c>
      <c r="B216" s="3">
        <v>45717</v>
      </c>
      <c r="C216">
        <v>752321.72</v>
      </c>
      <c r="D216">
        <v>35296.54</v>
      </c>
      <c r="E216">
        <v>9644</v>
      </c>
      <c r="F216">
        <v>0</v>
      </c>
      <c r="G216">
        <v>0.88</v>
      </c>
      <c r="H216" s="1">
        <v>4.7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0</v>
      </c>
    </row>
    <row r="217" spans="1:14">
      <c r="A217" t="s">
        <v>75</v>
      </c>
      <c r="B217" s="3">
        <v>45748</v>
      </c>
      <c r="C217">
        <v>836908.24</v>
      </c>
      <c r="D217">
        <v>47391.09</v>
      </c>
      <c r="E217">
        <v>11224</v>
      </c>
      <c r="F217">
        <v>0.14699999999999999</v>
      </c>
      <c r="G217">
        <v>0.88400000000000001</v>
      </c>
      <c r="H217" s="1">
        <v>4.9000000000000004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0</v>
      </c>
    </row>
    <row r="218" spans="1:14">
      <c r="A218" t="s">
        <v>76</v>
      </c>
      <c r="B218" s="3">
        <v>45658</v>
      </c>
      <c r="C218">
        <v>674289.1</v>
      </c>
      <c r="D218">
        <v>69180.539999999994</v>
      </c>
      <c r="E218">
        <v>5394</v>
      </c>
      <c r="F218">
        <v>0.126</v>
      </c>
      <c r="G218">
        <v>0.82900000000000007</v>
      </c>
      <c r="H218" s="1">
        <v>3.3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1</v>
      </c>
    </row>
    <row r="219" spans="1:14">
      <c r="A219" t="s">
        <v>76</v>
      </c>
      <c r="B219" s="3">
        <v>45689</v>
      </c>
      <c r="C219">
        <v>622892.42000000004</v>
      </c>
      <c r="D219">
        <v>33987.33</v>
      </c>
      <c r="E219">
        <v>5014</v>
      </c>
      <c r="F219">
        <v>0.246</v>
      </c>
      <c r="G219">
        <v>0.94299999999999995</v>
      </c>
      <c r="H219" s="1">
        <v>3.9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1</v>
      </c>
    </row>
    <row r="220" spans="1:14">
      <c r="A220" t="s">
        <v>76</v>
      </c>
      <c r="B220" s="3">
        <v>45717</v>
      </c>
      <c r="C220">
        <v>673348.56</v>
      </c>
      <c r="D220">
        <v>58785.33</v>
      </c>
      <c r="E220">
        <v>4467</v>
      </c>
      <c r="F220">
        <v>0.22900000000000001</v>
      </c>
      <c r="G220">
        <v>0.90700000000000003</v>
      </c>
      <c r="H220" s="1">
        <v>3.7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1</v>
      </c>
    </row>
    <row r="221" spans="1:14">
      <c r="A221" t="s">
        <v>76</v>
      </c>
      <c r="B221" s="3">
        <v>45748</v>
      </c>
      <c r="C221">
        <v>606278.30000000005</v>
      </c>
      <c r="D221">
        <v>16451.849999999999</v>
      </c>
      <c r="E221">
        <v>4678</v>
      </c>
      <c r="F221">
        <v>0.13300000000000001</v>
      </c>
      <c r="G221">
        <v>0.95900000000000007</v>
      </c>
      <c r="H221" s="1">
        <v>3.9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1</v>
      </c>
    </row>
    <row r="222" spans="1:14">
      <c r="A222" t="s">
        <v>77</v>
      </c>
      <c r="B222" s="3">
        <v>45658</v>
      </c>
      <c r="C222">
        <v>712219.81</v>
      </c>
      <c r="D222">
        <v>53367.73</v>
      </c>
      <c r="E222">
        <v>7291</v>
      </c>
      <c r="F222">
        <v>0.14599999999999999</v>
      </c>
      <c r="G222">
        <v>0.90599999999999992</v>
      </c>
      <c r="H222" s="1">
        <v>3.8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</row>
    <row r="223" spans="1:14">
      <c r="A223" t="s">
        <v>77</v>
      </c>
      <c r="B223" s="3">
        <v>45689</v>
      </c>
      <c r="C223">
        <v>672670.54</v>
      </c>
      <c r="D223">
        <v>27194.639999999999</v>
      </c>
      <c r="E223">
        <v>7404</v>
      </c>
      <c r="F223">
        <v>8.7999999999999995E-2</v>
      </c>
      <c r="G223">
        <v>0.90200000000000002</v>
      </c>
      <c r="H223" s="1">
        <v>3.4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</row>
    <row r="224" spans="1:14">
      <c r="A224" t="s">
        <v>77</v>
      </c>
      <c r="B224" s="3">
        <v>45717</v>
      </c>
      <c r="C224">
        <v>732667.92</v>
      </c>
      <c r="D224">
        <v>66962.740000000005</v>
      </c>
      <c r="E224">
        <v>7880</v>
      </c>
      <c r="F224">
        <v>0.11600000000000001</v>
      </c>
      <c r="G224">
        <v>0.90400000000000003</v>
      </c>
      <c r="H224" s="1">
        <v>3.3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</row>
    <row r="225" spans="1:14">
      <c r="A225" t="s">
        <v>77</v>
      </c>
      <c r="B225" s="3">
        <v>45748</v>
      </c>
      <c r="C225">
        <v>723531.4</v>
      </c>
      <c r="D225">
        <v>73540.990000000005</v>
      </c>
      <c r="E225">
        <v>8773</v>
      </c>
      <c r="F225">
        <v>3.5000000000000003E-2</v>
      </c>
      <c r="G225">
        <v>0.84400000000000008</v>
      </c>
      <c r="H225" s="1">
        <v>3.6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</row>
    <row r="226" spans="1:14">
      <c r="A226" t="s">
        <v>78</v>
      </c>
      <c r="B226" s="3">
        <v>45658</v>
      </c>
      <c r="C226">
        <v>641564.6</v>
      </c>
      <c r="D226">
        <v>68212.289999999994</v>
      </c>
      <c r="E226">
        <v>4713</v>
      </c>
      <c r="F226">
        <v>0.19800000000000001</v>
      </c>
      <c r="G226">
        <v>0.82599999999999996</v>
      </c>
      <c r="H226" s="1">
        <v>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78</v>
      </c>
      <c r="B227" s="3">
        <v>45689</v>
      </c>
      <c r="C227">
        <v>536545.49</v>
      </c>
      <c r="D227">
        <v>57225.98</v>
      </c>
      <c r="E227">
        <v>2842</v>
      </c>
      <c r="F227">
        <v>0.112</v>
      </c>
      <c r="G227">
        <v>0.79500000000000004</v>
      </c>
      <c r="H227" s="1">
        <v>3.4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78</v>
      </c>
      <c r="B228" s="3">
        <v>45717</v>
      </c>
      <c r="C228">
        <v>527681.56000000006</v>
      </c>
      <c r="D228">
        <v>42932.02</v>
      </c>
      <c r="E228">
        <v>3872</v>
      </c>
      <c r="F228">
        <v>0.17100000000000001</v>
      </c>
      <c r="G228">
        <v>0.83200000000000007</v>
      </c>
      <c r="H228" s="1">
        <v>3.3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78</v>
      </c>
      <c r="B229" s="3">
        <v>45748</v>
      </c>
      <c r="C229">
        <v>529598.93999999994</v>
      </c>
      <c r="D229">
        <v>39341.449999999997</v>
      </c>
      <c r="E229">
        <v>1375</v>
      </c>
      <c r="F229">
        <v>9.2999999999999999E-2</v>
      </c>
      <c r="G229">
        <v>0.95</v>
      </c>
      <c r="H229" s="10">
        <v>3.92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79</v>
      </c>
      <c r="B230" s="3">
        <v>45658</v>
      </c>
      <c r="C230">
        <v>570963.31000000006</v>
      </c>
      <c r="D230">
        <v>37324.230000000003</v>
      </c>
      <c r="E230">
        <v>5957</v>
      </c>
      <c r="F230">
        <v>7.0999999999999994E-2</v>
      </c>
      <c r="G230">
        <v>0.8590000000000001</v>
      </c>
      <c r="H230" s="1">
        <v>3.8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</row>
    <row r="231" spans="1:14">
      <c r="A231" t="s">
        <v>79</v>
      </c>
      <c r="B231" s="3">
        <v>45689</v>
      </c>
      <c r="C231">
        <v>870937.4</v>
      </c>
      <c r="D231">
        <v>113736</v>
      </c>
      <c r="E231">
        <v>8961</v>
      </c>
      <c r="F231">
        <v>0.20200000000000001</v>
      </c>
      <c r="G231">
        <v>0.86199999999999999</v>
      </c>
      <c r="H231" s="1">
        <v>4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</row>
    <row r="232" spans="1:14">
      <c r="A232" t="s">
        <v>79</v>
      </c>
      <c r="B232" s="3">
        <v>45717</v>
      </c>
      <c r="C232">
        <v>596969.27</v>
      </c>
      <c r="D232">
        <v>33173.949999999997</v>
      </c>
      <c r="E232">
        <v>6545</v>
      </c>
      <c r="F232">
        <v>0.16900000000000001</v>
      </c>
      <c r="G232">
        <v>0.84400000000000008</v>
      </c>
      <c r="H232" s="1">
        <v>3.9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</row>
    <row r="233" spans="1:14">
      <c r="A233" t="s">
        <v>79</v>
      </c>
      <c r="B233" s="3">
        <v>45748</v>
      </c>
      <c r="C233">
        <v>647512.85</v>
      </c>
      <c r="D233">
        <v>25818.080000000002</v>
      </c>
      <c r="E233">
        <v>5457</v>
      </c>
      <c r="F233">
        <v>0</v>
      </c>
      <c r="G233">
        <v>0.95400000000000007</v>
      </c>
      <c r="H233" s="1">
        <v>3.7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</row>
    <row r="234" spans="1:14">
      <c r="A234" t="s">
        <v>80</v>
      </c>
      <c r="B234" s="3">
        <v>45658</v>
      </c>
      <c r="C234">
        <v>658072.14</v>
      </c>
      <c r="D234">
        <v>47241.919999999998</v>
      </c>
      <c r="E234">
        <v>4264</v>
      </c>
      <c r="F234">
        <v>6.9000000000000006E-2</v>
      </c>
      <c r="G234">
        <v>0.95299999999999996</v>
      </c>
      <c r="H234" s="1">
        <v>4.3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0</v>
      </c>
    </row>
    <row r="235" spans="1:14">
      <c r="A235" t="s">
        <v>80</v>
      </c>
      <c r="B235" s="3">
        <v>45689</v>
      </c>
      <c r="C235">
        <v>723305.11</v>
      </c>
      <c r="D235">
        <v>61650.79</v>
      </c>
      <c r="E235">
        <v>5321</v>
      </c>
      <c r="F235">
        <v>0.126</v>
      </c>
      <c r="G235">
        <v>0.89200000000000002</v>
      </c>
      <c r="H235" s="1">
        <v>4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</row>
    <row r="236" spans="1:14">
      <c r="A236" t="s">
        <v>80</v>
      </c>
      <c r="B236" s="3">
        <v>45717</v>
      </c>
      <c r="C236">
        <v>640666.53</v>
      </c>
      <c r="D236">
        <v>62582.71</v>
      </c>
      <c r="E236">
        <v>5479</v>
      </c>
      <c r="F236">
        <v>4.8000000000000001E-2</v>
      </c>
      <c r="G236">
        <v>0.81200000000000006</v>
      </c>
      <c r="H236" s="1">
        <v>4.5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</row>
    <row r="237" spans="1:14">
      <c r="A237" t="s">
        <v>80</v>
      </c>
      <c r="B237" s="3">
        <v>45748</v>
      </c>
      <c r="C237">
        <v>670629.48</v>
      </c>
      <c r="D237">
        <v>47944.14</v>
      </c>
      <c r="E237">
        <v>6169</v>
      </c>
      <c r="F237">
        <v>0.11899999999999999</v>
      </c>
      <c r="G237">
        <v>0.92200000000000004</v>
      </c>
      <c r="H237" s="1">
        <v>4.0999999999999996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</row>
    <row r="238" spans="1:14">
      <c r="A238" t="s">
        <v>81</v>
      </c>
      <c r="B238" s="3">
        <v>45658</v>
      </c>
      <c r="C238">
        <v>721079.35</v>
      </c>
      <c r="D238">
        <v>46495.4</v>
      </c>
      <c r="E238">
        <v>9908</v>
      </c>
      <c r="F238">
        <v>0.121</v>
      </c>
      <c r="G238">
        <v>0.89400000000000002</v>
      </c>
      <c r="H238" s="1">
        <v>3.7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81</v>
      </c>
      <c r="B239" s="3">
        <v>45689</v>
      </c>
      <c r="C239">
        <v>810355.02</v>
      </c>
      <c r="D239">
        <v>72961.95</v>
      </c>
      <c r="E239">
        <v>9996</v>
      </c>
      <c r="F239">
        <v>0.106</v>
      </c>
      <c r="G239">
        <v>0.8909999999999999</v>
      </c>
      <c r="H239" s="1">
        <v>3.4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81</v>
      </c>
      <c r="B240" s="3">
        <v>45717</v>
      </c>
      <c r="C240">
        <v>761919.25</v>
      </c>
      <c r="D240">
        <v>59060.05</v>
      </c>
      <c r="E240">
        <v>9702</v>
      </c>
      <c r="F240">
        <v>0.20100000000000001</v>
      </c>
      <c r="G240">
        <v>0.80900000000000005</v>
      </c>
      <c r="H240" s="1">
        <v>3.2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81</v>
      </c>
      <c r="B241" s="3">
        <v>45748</v>
      </c>
      <c r="C241">
        <v>737070.18</v>
      </c>
      <c r="D241">
        <v>26248.1</v>
      </c>
      <c r="E241">
        <v>9314</v>
      </c>
      <c r="F241">
        <v>0.186</v>
      </c>
      <c r="G241">
        <v>0.83700000000000008</v>
      </c>
      <c r="H241" s="1">
        <v>3.3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82</v>
      </c>
      <c r="B242" s="3">
        <v>45658</v>
      </c>
      <c r="C242">
        <v>776992.93</v>
      </c>
      <c r="D242">
        <v>69900.12</v>
      </c>
      <c r="E242">
        <v>8055</v>
      </c>
      <c r="F242">
        <v>0.28100000000000003</v>
      </c>
      <c r="G242">
        <v>0.85599999999999998</v>
      </c>
      <c r="H242" s="1">
        <v>2.9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1</v>
      </c>
    </row>
    <row r="243" spans="1:14">
      <c r="A243" t="s">
        <v>82</v>
      </c>
      <c r="B243" s="3">
        <v>45689</v>
      </c>
      <c r="C243">
        <v>676337.41</v>
      </c>
      <c r="D243">
        <v>51781.599999999999</v>
      </c>
      <c r="E243">
        <v>5648</v>
      </c>
      <c r="F243">
        <v>5.8999999999999997E-2</v>
      </c>
      <c r="G243">
        <v>0.85499999999999998</v>
      </c>
      <c r="H243" s="1">
        <v>3.7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1</v>
      </c>
    </row>
    <row r="244" spans="1:14">
      <c r="A244" t="s">
        <v>82</v>
      </c>
      <c r="B244" s="3">
        <v>45717</v>
      </c>
      <c r="C244">
        <v>828219.67</v>
      </c>
      <c r="D244">
        <v>70799.64</v>
      </c>
      <c r="E244">
        <v>10076</v>
      </c>
      <c r="F244">
        <v>0.152</v>
      </c>
      <c r="G244">
        <v>0.84799999999999998</v>
      </c>
      <c r="H244" s="1">
        <v>3.5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1</v>
      </c>
    </row>
    <row r="245" spans="1:14">
      <c r="A245" t="s">
        <v>82</v>
      </c>
      <c r="B245" s="3">
        <v>45748</v>
      </c>
      <c r="C245">
        <v>763159.92</v>
      </c>
      <c r="D245">
        <v>53546.34</v>
      </c>
      <c r="E245">
        <v>8004</v>
      </c>
      <c r="F245">
        <v>0</v>
      </c>
      <c r="G245">
        <v>0.95200000000000007</v>
      </c>
      <c r="H245" s="1">
        <v>3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1</v>
      </c>
    </row>
    <row r="246" spans="1:14">
      <c r="A246" t="s">
        <v>83</v>
      </c>
      <c r="B246" s="3">
        <v>45658</v>
      </c>
      <c r="C246">
        <v>802001.68</v>
      </c>
      <c r="D246">
        <v>76942.2</v>
      </c>
      <c r="E246">
        <v>8934</v>
      </c>
      <c r="F246">
        <v>8.4000000000000005E-2</v>
      </c>
      <c r="G246">
        <v>0.91</v>
      </c>
      <c r="H246" s="1">
        <v>3.2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</row>
    <row r="247" spans="1:14">
      <c r="A247" t="s">
        <v>83</v>
      </c>
      <c r="B247" s="3">
        <v>45689</v>
      </c>
      <c r="C247">
        <v>750471.34</v>
      </c>
      <c r="D247">
        <v>48060.78</v>
      </c>
      <c r="E247">
        <v>8733</v>
      </c>
      <c r="F247">
        <v>0</v>
      </c>
      <c r="G247">
        <v>0.89900000000000002</v>
      </c>
      <c r="H247" s="1">
        <v>3.4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</row>
    <row r="248" spans="1:14">
      <c r="A248" t="s">
        <v>83</v>
      </c>
      <c r="B248" s="3">
        <v>45717</v>
      </c>
      <c r="C248">
        <v>679230.86</v>
      </c>
      <c r="D248">
        <v>57390.04</v>
      </c>
      <c r="E248">
        <v>7374</v>
      </c>
      <c r="F248">
        <v>0.21</v>
      </c>
      <c r="G248">
        <v>0.91799999999999993</v>
      </c>
      <c r="H248" s="1">
        <v>3.1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</row>
    <row r="249" spans="1:14">
      <c r="A249" t="s">
        <v>83</v>
      </c>
      <c r="B249" s="3">
        <v>45748</v>
      </c>
      <c r="C249">
        <v>679888.74</v>
      </c>
      <c r="D249">
        <v>21536.18</v>
      </c>
      <c r="E249">
        <v>8119</v>
      </c>
      <c r="F249">
        <v>0.22700000000000001</v>
      </c>
      <c r="G249">
        <v>0.90400000000000003</v>
      </c>
      <c r="H249" s="1">
        <v>3.3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</row>
    <row r="250" spans="1:14">
      <c r="A250" t="s">
        <v>84</v>
      </c>
      <c r="B250" s="3">
        <v>45658</v>
      </c>
      <c r="C250">
        <v>606783.67000000004</v>
      </c>
      <c r="D250">
        <v>40923.67</v>
      </c>
      <c r="E250">
        <v>3875</v>
      </c>
      <c r="F250">
        <v>0.15</v>
      </c>
      <c r="G250">
        <v>0.96099999999999997</v>
      </c>
      <c r="H250" s="1">
        <v>3.8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</row>
    <row r="251" spans="1:14">
      <c r="A251" t="s">
        <v>84</v>
      </c>
      <c r="B251" s="3">
        <v>45689</v>
      </c>
      <c r="C251">
        <v>642751.42000000004</v>
      </c>
      <c r="D251">
        <v>72932.55</v>
      </c>
      <c r="E251">
        <v>5765</v>
      </c>
      <c r="F251">
        <v>2.5999999999999999E-2</v>
      </c>
      <c r="G251">
        <v>0.81799999999999995</v>
      </c>
      <c r="H251" s="1">
        <v>3.6</v>
      </c>
      <c r="I251">
        <v>0</v>
      </c>
      <c r="J251">
        <v>1</v>
      </c>
      <c r="K251">
        <v>0</v>
      </c>
      <c r="L251">
        <v>1</v>
      </c>
      <c r="M251">
        <v>0</v>
      </c>
      <c r="N251">
        <v>0</v>
      </c>
    </row>
    <row r="252" spans="1:14">
      <c r="A252" t="s">
        <v>84</v>
      </c>
      <c r="B252" s="3">
        <v>45717</v>
      </c>
      <c r="C252">
        <v>647953.78</v>
      </c>
      <c r="D252">
        <v>38361.93</v>
      </c>
      <c r="E252">
        <v>6322</v>
      </c>
      <c r="F252">
        <v>0.27300000000000002</v>
      </c>
      <c r="G252">
        <v>0.88400000000000001</v>
      </c>
      <c r="H252" s="1">
        <v>4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0</v>
      </c>
    </row>
    <row r="253" spans="1:14">
      <c r="A253" t="s">
        <v>84</v>
      </c>
      <c r="B253" s="3">
        <v>45748</v>
      </c>
      <c r="C253">
        <v>729440.45</v>
      </c>
      <c r="D253">
        <v>97480.94</v>
      </c>
      <c r="E253">
        <v>6840</v>
      </c>
      <c r="F253">
        <v>8.6999999999999994E-2</v>
      </c>
      <c r="G253">
        <v>0.79200000000000004</v>
      </c>
      <c r="H253" s="1">
        <v>4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0</v>
      </c>
    </row>
    <row r="254" spans="1:14">
      <c r="A254" t="s">
        <v>85</v>
      </c>
      <c r="B254" s="3">
        <v>45658</v>
      </c>
      <c r="C254">
        <v>764949</v>
      </c>
      <c r="D254">
        <v>81801.8</v>
      </c>
      <c r="E254">
        <v>6782</v>
      </c>
      <c r="F254">
        <v>0.05</v>
      </c>
      <c r="G254">
        <v>0.99</v>
      </c>
      <c r="H254" s="1">
        <v>3.7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</row>
    <row r="255" spans="1:14">
      <c r="A255" t="s">
        <v>85</v>
      </c>
      <c r="B255" s="3">
        <v>45689</v>
      </c>
      <c r="C255">
        <v>799046.94</v>
      </c>
      <c r="D255">
        <v>63582.11</v>
      </c>
      <c r="E255">
        <v>6856</v>
      </c>
      <c r="F255">
        <v>7.3999999999999996E-2</v>
      </c>
      <c r="G255">
        <v>0.89500000000000002</v>
      </c>
      <c r="H255" s="1">
        <v>3.2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</row>
    <row r="256" spans="1:14">
      <c r="A256" t="s">
        <v>85</v>
      </c>
      <c r="B256" s="3">
        <v>45717</v>
      </c>
      <c r="C256">
        <v>720079.54</v>
      </c>
      <c r="D256">
        <v>75412.740000000005</v>
      </c>
      <c r="E256">
        <v>5641</v>
      </c>
      <c r="F256">
        <v>5.8999999999999997E-2</v>
      </c>
      <c r="G256">
        <v>0.879</v>
      </c>
      <c r="H256" s="1">
        <v>3.6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1</v>
      </c>
    </row>
    <row r="257" spans="1:14">
      <c r="A257" t="s">
        <v>85</v>
      </c>
      <c r="B257" s="3">
        <v>45748</v>
      </c>
      <c r="C257">
        <v>612390.14</v>
      </c>
      <c r="D257">
        <v>36290.080000000002</v>
      </c>
      <c r="E257">
        <v>5787</v>
      </c>
      <c r="F257">
        <v>0</v>
      </c>
      <c r="G257">
        <v>0.88300000000000001</v>
      </c>
      <c r="H257" s="1">
        <v>4.0999999999999996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1</v>
      </c>
    </row>
    <row r="258" spans="1:14">
      <c r="A258" t="s">
        <v>86</v>
      </c>
      <c r="B258" s="3">
        <v>45658</v>
      </c>
      <c r="C258">
        <v>840108.12</v>
      </c>
      <c r="D258">
        <v>65272.58</v>
      </c>
      <c r="E258">
        <v>8165</v>
      </c>
      <c r="F258">
        <v>5.0999999999999997E-2</v>
      </c>
      <c r="G258">
        <v>0.878</v>
      </c>
      <c r="H258" s="1">
        <v>4.3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</row>
    <row r="259" spans="1:14">
      <c r="A259" t="s">
        <v>86</v>
      </c>
      <c r="B259" s="3">
        <v>45689</v>
      </c>
      <c r="C259">
        <v>697888.09</v>
      </c>
      <c r="D259">
        <v>28670.43</v>
      </c>
      <c r="E259">
        <v>7574</v>
      </c>
      <c r="F259">
        <v>0.114</v>
      </c>
      <c r="G259">
        <v>0.82700000000000007</v>
      </c>
      <c r="H259" s="1">
        <v>4.5999999999999996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</row>
    <row r="260" spans="1:14">
      <c r="A260" t="s">
        <v>86</v>
      </c>
      <c r="B260" s="3">
        <v>45717</v>
      </c>
      <c r="C260">
        <v>746115.59</v>
      </c>
      <c r="D260">
        <v>44189.34</v>
      </c>
      <c r="E260">
        <v>8634</v>
      </c>
      <c r="F260">
        <v>0.14299999999999999</v>
      </c>
      <c r="G260">
        <v>0.875</v>
      </c>
      <c r="H260" s="1">
        <v>4.4000000000000004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</row>
    <row r="261" spans="1:14">
      <c r="A261" t="s">
        <v>86</v>
      </c>
      <c r="B261" s="3">
        <v>45748</v>
      </c>
      <c r="C261">
        <v>776110.32</v>
      </c>
      <c r="D261">
        <v>38397.82</v>
      </c>
      <c r="E261">
        <v>7836</v>
      </c>
      <c r="F261">
        <v>7.0000000000000001E-3</v>
      </c>
      <c r="G261">
        <v>0.92200000000000004</v>
      </c>
      <c r="H261" s="1">
        <v>3.6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</row>
    <row r="262" spans="1:14">
      <c r="A262" t="s">
        <v>87</v>
      </c>
      <c r="B262" s="3">
        <v>45658</v>
      </c>
      <c r="C262">
        <v>528852.62</v>
      </c>
      <c r="D262">
        <v>14519.37</v>
      </c>
      <c r="E262">
        <v>3047</v>
      </c>
      <c r="F262">
        <v>0.13500000000000001</v>
      </c>
      <c r="G262">
        <v>0.90300000000000002</v>
      </c>
      <c r="H262" s="1">
        <v>4.2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</row>
    <row r="263" spans="1:14">
      <c r="A263" t="s">
        <v>87</v>
      </c>
      <c r="B263" s="3">
        <v>45689</v>
      </c>
      <c r="C263">
        <v>605751.32999999996</v>
      </c>
      <c r="D263">
        <v>43288.2</v>
      </c>
      <c r="E263">
        <v>4783</v>
      </c>
      <c r="F263">
        <v>0.16900000000000001</v>
      </c>
      <c r="G263">
        <v>0.873</v>
      </c>
      <c r="H263" s="1">
        <v>4.2</v>
      </c>
      <c r="I263">
        <v>1</v>
      </c>
      <c r="J263">
        <v>0</v>
      </c>
      <c r="K263">
        <v>0</v>
      </c>
      <c r="L263">
        <v>1</v>
      </c>
      <c r="M263">
        <v>0</v>
      </c>
      <c r="N263">
        <v>0</v>
      </c>
    </row>
    <row r="264" spans="1:14">
      <c r="A264" t="s">
        <v>87</v>
      </c>
      <c r="B264" s="3">
        <v>45717</v>
      </c>
      <c r="C264">
        <v>677640.65</v>
      </c>
      <c r="D264">
        <v>51450.55</v>
      </c>
      <c r="E264">
        <v>4902</v>
      </c>
      <c r="F264">
        <v>8.5999999999999993E-2</v>
      </c>
      <c r="G264">
        <v>0.83700000000000008</v>
      </c>
      <c r="H264" s="1">
        <v>4.2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0</v>
      </c>
    </row>
    <row r="265" spans="1:14">
      <c r="A265" t="s">
        <v>87</v>
      </c>
      <c r="B265" s="3">
        <v>45748</v>
      </c>
      <c r="C265">
        <v>636613.23</v>
      </c>
      <c r="D265">
        <v>58688.26</v>
      </c>
      <c r="E265">
        <v>4022</v>
      </c>
      <c r="F265">
        <v>0.217</v>
      </c>
      <c r="G265">
        <v>0.93799999999999994</v>
      </c>
      <c r="H265" s="1">
        <v>3.7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</row>
    <row r="266" spans="1:14">
      <c r="A266" t="s">
        <v>88</v>
      </c>
      <c r="B266" s="3">
        <v>45658</v>
      </c>
      <c r="C266">
        <v>708985.19</v>
      </c>
      <c r="D266">
        <v>58981.91</v>
      </c>
      <c r="E266">
        <v>7324</v>
      </c>
      <c r="F266">
        <v>9.4E-2</v>
      </c>
      <c r="G266">
        <v>0.95799999999999996</v>
      </c>
      <c r="H266" s="1">
        <v>3.5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</row>
    <row r="267" spans="1:14">
      <c r="A267" t="s">
        <v>88</v>
      </c>
      <c r="B267" s="3">
        <v>45689</v>
      </c>
      <c r="C267">
        <v>767792.94</v>
      </c>
      <c r="D267">
        <v>73454.539999999994</v>
      </c>
      <c r="E267">
        <v>8129</v>
      </c>
      <c r="F267">
        <v>0.21099999999999999</v>
      </c>
      <c r="G267">
        <v>0.85199999999999998</v>
      </c>
      <c r="H267" s="1">
        <v>3.7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</row>
    <row r="268" spans="1:14">
      <c r="A268" t="s">
        <v>88</v>
      </c>
      <c r="B268" s="3">
        <v>45717</v>
      </c>
      <c r="C268">
        <v>745580.51</v>
      </c>
      <c r="D268">
        <v>56602.39</v>
      </c>
      <c r="E268">
        <v>7969</v>
      </c>
      <c r="F268">
        <v>0.17</v>
      </c>
      <c r="G268">
        <v>0.88300000000000001</v>
      </c>
      <c r="H268" s="1">
        <v>3.7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</row>
    <row r="269" spans="1:14">
      <c r="A269" t="s">
        <v>88</v>
      </c>
      <c r="B269" s="3">
        <v>45748</v>
      </c>
      <c r="C269">
        <v>762328.31</v>
      </c>
      <c r="D269">
        <v>67722.289999999994</v>
      </c>
      <c r="E269">
        <v>7240</v>
      </c>
      <c r="F269">
        <v>2.5999999999999999E-2</v>
      </c>
      <c r="G269">
        <v>0.92900000000000005</v>
      </c>
      <c r="H269" s="1">
        <v>3.5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</row>
    <row r="270" spans="1:14">
      <c r="A270" t="s">
        <v>89</v>
      </c>
      <c r="B270" s="3">
        <v>45658</v>
      </c>
      <c r="C270">
        <v>660633.99</v>
      </c>
      <c r="D270">
        <v>48752.92</v>
      </c>
      <c r="E270">
        <v>8052</v>
      </c>
      <c r="F270">
        <v>0.106</v>
      </c>
      <c r="G270">
        <v>0.94900000000000007</v>
      </c>
      <c r="H270" s="1">
        <v>3.6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89</v>
      </c>
      <c r="B271" s="3">
        <v>45689</v>
      </c>
      <c r="C271">
        <v>739374.56</v>
      </c>
      <c r="D271">
        <v>23914.97</v>
      </c>
      <c r="E271">
        <v>8018</v>
      </c>
      <c r="F271">
        <v>0.13900000000000001</v>
      </c>
      <c r="G271">
        <v>0.89</v>
      </c>
      <c r="H271" s="1">
        <v>3.5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89</v>
      </c>
      <c r="B272" s="3">
        <v>45717</v>
      </c>
      <c r="C272">
        <v>799756.46</v>
      </c>
      <c r="D272">
        <v>61995.3</v>
      </c>
      <c r="E272">
        <v>10192</v>
      </c>
      <c r="F272">
        <v>0.19800000000000001</v>
      </c>
      <c r="G272">
        <v>0.87599999999999989</v>
      </c>
      <c r="H272" s="1">
        <v>3.8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89</v>
      </c>
      <c r="B273" s="3">
        <v>45748</v>
      </c>
      <c r="C273">
        <v>593343</v>
      </c>
      <c r="D273">
        <v>29344.93</v>
      </c>
      <c r="E273">
        <v>7446</v>
      </c>
      <c r="F273">
        <v>0.111</v>
      </c>
      <c r="G273">
        <v>0.86199999999999999</v>
      </c>
      <c r="H273" s="1">
        <v>3.2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90</v>
      </c>
      <c r="B274" s="3">
        <v>45658</v>
      </c>
      <c r="C274">
        <v>645039.97</v>
      </c>
      <c r="D274">
        <v>50532.17</v>
      </c>
      <c r="E274">
        <v>5689</v>
      </c>
      <c r="F274">
        <v>5.1999999999999998E-2</v>
      </c>
      <c r="G274">
        <v>0.85599999999999998</v>
      </c>
      <c r="H274" s="1">
        <v>3.3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</row>
    <row r="275" spans="1:14">
      <c r="A275" t="s">
        <v>90</v>
      </c>
      <c r="B275" s="3">
        <v>45689</v>
      </c>
      <c r="C275">
        <v>561597.32999999996</v>
      </c>
      <c r="D275">
        <v>17562.57</v>
      </c>
      <c r="E275">
        <v>3326</v>
      </c>
      <c r="F275">
        <v>0.153</v>
      </c>
      <c r="G275">
        <v>0.88099999999999989</v>
      </c>
      <c r="H275" s="1">
        <v>3.1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</row>
    <row r="276" spans="1:14">
      <c r="A276" t="s">
        <v>90</v>
      </c>
      <c r="B276" s="3">
        <v>45717</v>
      </c>
      <c r="C276">
        <v>635837.74</v>
      </c>
      <c r="D276">
        <v>47648.71</v>
      </c>
      <c r="E276">
        <v>5767</v>
      </c>
      <c r="F276">
        <v>0.14099999999999999</v>
      </c>
      <c r="G276">
        <v>0.89800000000000002</v>
      </c>
      <c r="H276" s="1">
        <v>3.1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0</v>
      </c>
    </row>
    <row r="277" spans="1:14">
      <c r="A277" t="s">
        <v>90</v>
      </c>
      <c r="B277" s="3">
        <v>45748</v>
      </c>
      <c r="C277">
        <v>686737.87</v>
      </c>
      <c r="D277">
        <v>38297.58</v>
      </c>
      <c r="E277">
        <v>5893</v>
      </c>
      <c r="F277">
        <v>0.247</v>
      </c>
      <c r="G277">
        <v>0.77599999999999991</v>
      </c>
      <c r="H277" s="1">
        <v>3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</v>
      </c>
    </row>
    <row r="278" spans="1:14">
      <c r="A278" t="s">
        <v>91</v>
      </c>
      <c r="B278" s="3">
        <v>45658</v>
      </c>
      <c r="C278">
        <v>673076.34</v>
      </c>
      <c r="D278">
        <v>61784.11</v>
      </c>
      <c r="E278">
        <v>8564</v>
      </c>
      <c r="F278">
        <v>0.13</v>
      </c>
      <c r="G278">
        <v>0.87400000000000011</v>
      </c>
      <c r="H278" s="1">
        <v>3.4</v>
      </c>
      <c r="I278">
        <v>0</v>
      </c>
      <c r="J278">
        <v>0</v>
      </c>
      <c r="K278">
        <v>1</v>
      </c>
      <c r="L278">
        <v>0</v>
      </c>
      <c r="M278">
        <v>1</v>
      </c>
      <c r="N278">
        <v>0</v>
      </c>
    </row>
    <row r="279" spans="1:14">
      <c r="A279" t="s">
        <v>91</v>
      </c>
      <c r="B279" s="3">
        <v>45689</v>
      </c>
      <c r="C279">
        <v>738548.42</v>
      </c>
      <c r="D279">
        <v>36832.33</v>
      </c>
      <c r="E279">
        <v>8001</v>
      </c>
      <c r="F279">
        <v>0</v>
      </c>
      <c r="G279">
        <v>0.88700000000000001</v>
      </c>
      <c r="H279" s="1">
        <v>4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0</v>
      </c>
    </row>
    <row r="280" spans="1:14">
      <c r="A280" t="s">
        <v>91</v>
      </c>
      <c r="B280" s="3">
        <v>45717</v>
      </c>
      <c r="C280">
        <v>756619.77</v>
      </c>
      <c r="D280">
        <v>48609.41</v>
      </c>
      <c r="E280">
        <v>9324</v>
      </c>
      <c r="F280">
        <v>0.21299999999999999</v>
      </c>
      <c r="G280">
        <v>0.86499999999999999</v>
      </c>
      <c r="H280" s="1">
        <v>3.9</v>
      </c>
      <c r="I280">
        <v>0</v>
      </c>
      <c r="J280">
        <v>0</v>
      </c>
      <c r="K280">
        <v>1</v>
      </c>
      <c r="L280">
        <v>0</v>
      </c>
      <c r="M280">
        <v>1</v>
      </c>
      <c r="N280">
        <v>0</v>
      </c>
    </row>
    <row r="281" spans="1:14">
      <c r="A281" t="s">
        <v>91</v>
      </c>
      <c r="B281" s="3">
        <v>45748</v>
      </c>
      <c r="C281">
        <v>761122.42</v>
      </c>
      <c r="D281">
        <v>70284.06</v>
      </c>
      <c r="E281">
        <v>9109</v>
      </c>
      <c r="F281">
        <v>4.0000000000000001E-3</v>
      </c>
      <c r="G281">
        <v>0.87</v>
      </c>
      <c r="H281" s="1">
        <v>3.7</v>
      </c>
      <c r="I281">
        <v>0</v>
      </c>
      <c r="J281">
        <v>0</v>
      </c>
      <c r="K281">
        <v>1</v>
      </c>
      <c r="L281">
        <v>0</v>
      </c>
      <c r="M281">
        <v>1</v>
      </c>
      <c r="N281">
        <v>0</v>
      </c>
    </row>
    <row r="282" spans="1:14">
      <c r="A282" t="s">
        <v>92</v>
      </c>
      <c r="B282" s="3">
        <v>45658</v>
      </c>
      <c r="C282">
        <v>524899.56999999995</v>
      </c>
      <c r="D282">
        <v>45940.39</v>
      </c>
      <c r="E282">
        <v>4022</v>
      </c>
      <c r="F282">
        <v>6.9000000000000006E-2</v>
      </c>
      <c r="G282">
        <v>0.83</v>
      </c>
      <c r="H282" s="1">
        <v>3.8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</row>
    <row r="283" spans="1:14">
      <c r="A283" t="s">
        <v>92</v>
      </c>
      <c r="B283" s="3">
        <v>45689</v>
      </c>
      <c r="C283">
        <v>555557.77</v>
      </c>
      <c r="D283">
        <v>34771.26</v>
      </c>
      <c r="E283">
        <v>4355</v>
      </c>
      <c r="F283">
        <v>5.0999999999999997E-2</v>
      </c>
      <c r="G283">
        <v>0.879</v>
      </c>
      <c r="H283" s="1">
        <v>4</v>
      </c>
      <c r="I283">
        <v>0</v>
      </c>
      <c r="J283">
        <v>0</v>
      </c>
      <c r="K283">
        <v>1</v>
      </c>
      <c r="L283">
        <v>1</v>
      </c>
      <c r="M283">
        <v>0</v>
      </c>
      <c r="N283">
        <v>0</v>
      </c>
    </row>
    <row r="284" spans="1:14">
      <c r="A284" t="s">
        <v>92</v>
      </c>
      <c r="B284" s="3">
        <v>45717</v>
      </c>
      <c r="C284">
        <v>714083.68</v>
      </c>
      <c r="D284">
        <v>66104.19</v>
      </c>
      <c r="E284">
        <v>5745</v>
      </c>
      <c r="F284">
        <v>7.0000000000000007E-2</v>
      </c>
      <c r="G284">
        <v>0.95799999999999996</v>
      </c>
      <c r="H284" s="1">
        <v>4</v>
      </c>
      <c r="I284">
        <v>0</v>
      </c>
      <c r="J284">
        <v>0</v>
      </c>
      <c r="K284">
        <v>1</v>
      </c>
      <c r="L284">
        <v>1</v>
      </c>
      <c r="M284">
        <v>0</v>
      </c>
      <c r="N284">
        <v>0</v>
      </c>
    </row>
    <row r="285" spans="1:14">
      <c r="A285" t="s">
        <v>92</v>
      </c>
      <c r="B285" s="3">
        <v>45748</v>
      </c>
      <c r="C285">
        <v>497439.82</v>
      </c>
      <c r="D285">
        <v>18599.21</v>
      </c>
      <c r="E285">
        <v>3027</v>
      </c>
      <c r="F285">
        <v>0.122</v>
      </c>
      <c r="G285">
        <v>0.80900000000000005</v>
      </c>
      <c r="H285" s="1">
        <v>4.2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</row>
    <row r="286" spans="1:14">
      <c r="A286" t="s">
        <v>93</v>
      </c>
      <c r="B286" s="3">
        <v>45658</v>
      </c>
      <c r="C286">
        <v>636775.66</v>
      </c>
      <c r="D286">
        <v>60183.06</v>
      </c>
      <c r="E286">
        <v>5562</v>
      </c>
      <c r="F286">
        <v>8.9999999999999993E-3</v>
      </c>
      <c r="G286">
        <v>0.86299999999999999</v>
      </c>
      <c r="H286" s="1">
        <v>4.5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0</v>
      </c>
    </row>
    <row r="287" spans="1:14">
      <c r="A287" t="s">
        <v>93</v>
      </c>
      <c r="B287" s="3">
        <v>45689</v>
      </c>
      <c r="C287">
        <v>633009.53</v>
      </c>
      <c r="D287">
        <v>74539.14</v>
      </c>
      <c r="E287">
        <v>4487</v>
      </c>
      <c r="F287">
        <v>0.14000000000000001</v>
      </c>
      <c r="G287">
        <v>0.90400000000000003</v>
      </c>
      <c r="H287" s="1">
        <v>4.5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</row>
    <row r="288" spans="1:14">
      <c r="A288" t="s">
        <v>93</v>
      </c>
      <c r="B288" s="3">
        <v>45717</v>
      </c>
      <c r="C288">
        <v>609949</v>
      </c>
      <c r="D288">
        <v>55371.97</v>
      </c>
      <c r="E288">
        <v>4162</v>
      </c>
      <c r="F288">
        <v>0.183</v>
      </c>
      <c r="G288">
        <v>0.92</v>
      </c>
      <c r="H288" s="1">
        <v>4.2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</row>
    <row r="289" spans="1:14">
      <c r="A289" t="s">
        <v>93</v>
      </c>
      <c r="B289" s="3">
        <v>45748</v>
      </c>
      <c r="C289">
        <v>548103.69999999995</v>
      </c>
      <c r="D289">
        <v>40928.69</v>
      </c>
      <c r="E289">
        <v>4094</v>
      </c>
      <c r="F289">
        <v>0.17399999999999999</v>
      </c>
      <c r="G289">
        <v>0.82400000000000007</v>
      </c>
      <c r="H289" s="1">
        <v>4.8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</row>
    <row r="290" spans="1:14">
      <c r="A290" t="s">
        <v>94</v>
      </c>
      <c r="B290" s="3">
        <v>45658</v>
      </c>
      <c r="C290">
        <v>729424.42</v>
      </c>
      <c r="D290">
        <v>70012.41</v>
      </c>
      <c r="E290">
        <v>8484</v>
      </c>
      <c r="F290">
        <v>0.27300000000000002</v>
      </c>
      <c r="G290">
        <v>0.72900000000000009</v>
      </c>
      <c r="H290" s="1">
        <v>3.7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</row>
    <row r="291" spans="1:14">
      <c r="A291" t="s">
        <v>94</v>
      </c>
      <c r="B291" s="3">
        <v>45689</v>
      </c>
      <c r="C291">
        <v>696261.49</v>
      </c>
      <c r="D291">
        <v>68909.259999999995</v>
      </c>
      <c r="E291">
        <v>7794</v>
      </c>
      <c r="F291">
        <v>0.28399999999999997</v>
      </c>
      <c r="G291">
        <v>0.89</v>
      </c>
      <c r="H291" s="1">
        <v>4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</row>
    <row r="292" spans="1:14">
      <c r="A292" t="s">
        <v>94</v>
      </c>
      <c r="B292" s="3">
        <v>45717</v>
      </c>
      <c r="C292">
        <v>813316.71</v>
      </c>
      <c r="D292">
        <v>56737.3</v>
      </c>
      <c r="E292">
        <v>8300</v>
      </c>
      <c r="F292">
        <v>3.2000000000000001E-2</v>
      </c>
      <c r="G292">
        <v>0.83200000000000007</v>
      </c>
      <c r="H292" s="1">
        <v>4.3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</row>
    <row r="293" spans="1:14">
      <c r="A293" t="s">
        <v>94</v>
      </c>
      <c r="B293" s="3">
        <v>45748</v>
      </c>
      <c r="C293">
        <v>702068.92</v>
      </c>
      <c r="D293">
        <v>54080.91</v>
      </c>
      <c r="E293">
        <v>7083</v>
      </c>
      <c r="F293">
        <v>0</v>
      </c>
      <c r="G293">
        <v>0.97</v>
      </c>
      <c r="H293" s="1">
        <v>4.0999999999999996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</row>
    <row r="294" spans="1:14">
      <c r="A294" t="s">
        <v>95</v>
      </c>
      <c r="B294" s="3">
        <v>45658</v>
      </c>
      <c r="C294">
        <v>546223.69999999995</v>
      </c>
      <c r="D294">
        <v>51996.32</v>
      </c>
      <c r="E294">
        <v>3834</v>
      </c>
      <c r="F294">
        <v>9.6000000000000002E-2</v>
      </c>
      <c r="G294">
        <v>0.86699999999999999</v>
      </c>
      <c r="H294" s="1">
        <v>4.5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</row>
    <row r="295" spans="1:14">
      <c r="A295" t="s">
        <v>95</v>
      </c>
      <c r="B295" s="3">
        <v>45689</v>
      </c>
      <c r="C295">
        <v>533121.26</v>
      </c>
      <c r="D295">
        <v>40102.879999999997</v>
      </c>
      <c r="E295">
        <v>2358</v>
      </c>
      <c r="F295">
        <v>0.11899999999999999</v>
      </c>
      <c r="G295">
        <v>0.88700000000000001</v>
      </c>
      <c r="H295" s="1">
        <v>4.2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0</v>
      </c>
    </row>
    <row r="296" spans="1:14">
      <c r="A296" t="s">
        <v>95</v>
      </c>
      <c r="B296" s="3">
        <v>45717</v>
      </c>
      <c r="C296">
        <v>498970.32</v>
      </c>
      <c r="D296">
        <v>59825.51</v>
      </c>
      <c r="E296">
        <v>1231</v>
      </c>
      <c r="F296">
        <v>0.214</v>
      </c>
      <c r="G296">
        <v>0.84799999999999998</v>
      </c>
      <c r="H296" s="1">
        <v>4.7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</row>
    <row r="297" spans="1:14">
      <c r="A297" t="s">
        <v>95</v>
      </c>
      <c r="B297" s="3">
        <v>45748</v>
      </c>
      <c r="C297">
        <v>487738.26</v>
      </c>
      <c r="D297">
        <v>27398.28</v>
      </c>
      <c r="E297">
        <v>1723</v>
      </c>
      <c r="F297">
        <v>0.17100000000000001</v>
      </c>
      <c r="G297">
        <v>0.81</v>
      </c>
      <c r="H297" s="1">
        <v>4.5999999999999996</v>
      </c>
      <c r="I297">
        <v>1</v>
      </c>
      <c r="J297">
        <v>0</v>
      </c>
      <c r="K297">
        <v>0</v>
      </c>
      <c r="L297">
        <v>1</v>
      </c>
      <c r="M297">
        <v>0</v>
      </c>
      <c r="N297">
        <v>0</v>
      </c>
    </row>
    <row r="298" spans="1:14">
      <c r="A298" t="s">
        <v>96</v>
      </c>
      <c r="B298" s="3">
        <v>45658</v>
      </c>
      <c r="C298">
        <v>668459.37</v>
      </c>
      <c r="D298">
        <v>55599.56</v>
      </c>
      <c r="E298">
        <v>5896</v>
      </c>
      <c r="F298">
        <v>3.5999999999999997E-2</v>
      </c>
      <c r="G298">
        <v>0.93099999999999994</v>
      </c>
      <c r="H298" s="1">
        <v>3.3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0</v>
      </c>
    </row>
    <row r="299" spans="1:14">
      <c r="A299" t="s">
        <v>96</v>
      </c>
      <c r="B299" s="3">
        <v>45689</v>
      </c>
      <c r="C299">
        <v>763162.45</v>
      </c>
      <c r="D299">
        <v>55477.61</v>
      </c>
      <c r="E299">
        <v>5903</v>
      </c>
      <c r="F299">
        <v>0.10199999999999999</v>
      </c>
      <c r="G299">
        <v>0.96200000000000008</v>
      </c>
      <c r="H299" s="1">
        <v>3.3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</row>
    <row r="300" spans="1:14">
      <c r="A300" t="s">
        <v>96</v>
      </c>
      <c r="B300" s="3">
        <v>45717</v>
      </c>
      <c r="C300">
        <v>599017.32999999996</v>
      </c>
      <c r="D300">
        <v>46174.7</v>
      </c>
      <c r="E300">
        <v>4898</v>
      </c>
      <c r="F300">
        <v>0.114</v>
      </c>
      <c r="G300">
        <v>0.91700000000000004</v>
      </c>
      <c r="H300" s="1">
        <v>3.1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0</v>
      </c>
    </row>
    <row r="301" spans="1:14">
      <c r="A301" t="s">
        <v>96</v>
      </c>
      <c r="B301" s="3">
        <v>45748</v>
      </c>
      <c r="C301">
        <v>401582.58</v>
      </c>
      <c r="D301">
        <v>24362.98</v>
      </c>
      <c r="E301">
        <v>1462</v>
      </c>
      <c r="F301">
        <v>0.11700000000000001</v>
      </c>
      <c r="G301">
        <v>0.89300000000000002</v>
      </c>
      <c r="H301" s="1">
        <v>3.2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0</v>
      </c>
    </row>
    <row r="302" spans="1:14">
      <c r="A302" t="s">
        <v>97</v>
      </c>
      <c r="B302" s="3">
        <v>45658</v>
      </c>
      <c r="C302">
        <v>703812.99</v>
      </c>
      <c r="D302">
        <v>40647.67</v>
      </c>
      <c r="E302">
        <v>8252</v>
      </c>
      <c r="F302">
        <v>0.14099999999999999</v>
      </c>
      <c r="G302">
        <v>0.88200000000000001</v>
      </c>
      <c r="H302" s="1">
        <v>4.0999999999999996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97</v>
      </c>
      <c r="B303" s="3">
        <v>45689</v>
      </c>
      <c r="C303">
        <v>724346.73</v>
      </c>
      <c r="D303">
        <v>63986.98</v>
      </c>
      <c r="E303">
        <v>7989</v>
      </c>
      <c r="F303">
        <v>7.3999999999999996E-2</v>
      </c>
      <c r="G303">
        <v>0.83299999999999996</v>
      </c>
      <c r="H303" s="1">
        <v>3.7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97</v>
      </c>
      <c r="B304" s="3">
        <v>45717</v>
      </c>
      <c r="C304">
        <v>730890.01</v>
      </c>
      <c r="D304">
        <v>52843.75</v>
      </c>
      <c r="E304">
        <v>8268</v>
      </c>
      <c r="F304">
        <v>0.13800000000000001</v>
      </c>
      <c r="G304">
        <v>0.873</v>
      </c>
      <c r="H304" s="1">
        <v>4.7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97</v>
      </c>
      <c r="B305" s="3">
        <v>45748</v>
      </c>
      <c r="C305">
        <v>780580.95</v>
      </c>
      <c r="D305">
        <v>31997.25</v>
      </c>
      <c r="E305">
        <v>8183</v>
      </c>
      <c r="F305">
        <v>0.19800000000000001</v>
      </c>
      <c r="G305">
        <v>0.93</v>
      </c>
      <c r="H305" s="1">
        <v>4.2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98</v>
      </c>
      <c r="B306" s="3">
        <v>45658</v>
      </c>
      <c r="C306">
        <v>727957.48</v>
      </c>
      <c r="D306">
        <v>54948.02</v>
      </c>
      <c r="E306">
        <v>6534</v>
      </c>
      <c r="F306">
        <v>0.183</v>
      </c>
      <c r="G306">
        <v>0.94499999999999995</v>
      </c>
      <c r="H306" s="1">
        <v>4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</row>
    <row r="307" spans="1:14">
      <c r="A307" t="s">
        <v>98</v>
      </c>
      <c r="B307" s="3">
        <v>45689</v>
      </c>
      <c r="C307">
        <v>538376</v>
      </c>
      <c r="D307">
        <v>46146.239999999998</v>
      </c>
      <c r="E307">
        <v>5804</v>
      </c>
      <c r="F307">
        <v>4.7E-2</v>
      </c>
      <c r="G307">
        <v>0.86900000000000011</v>
      </c>
      <c r="H307" s="1">
        <v>3.8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0</v>
      </c>
    </row>
    <row r="308" spans="1:14">
      <c r="A308" t="s">
        <v>98</v>
      </c>
      <c r="B308" s="3">
        <v>45717</v>
      </c>
      <c r="C308">
        <v>665342.49</v>
      </c>
      <c r="D308">
        <v>22387.26</v>
      </c>
      <c r="E308">
        <v>6301</v>
      </c>
      <c r="F308">
        <v>0.14599999999999999</v>
      </c>
      <c r="G308">
        <v>0.8590000000000001</v>
      </c>
      <c r="H308" s="1">
        <v>3.7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0</v>
      </c>
    </row>
    <row r="309" spans="1:14">
      <c r="A309" t="s">
        <v>98</v>
      </c>
      <c r="B309" s="3">
        <v>45748</v>
      </c>
      <c r="C309">
        <v>651164.18000000005</v>
      </c>
      <c r="D309">
        <v>60684.05</v>
      </c>
      <c r="E309">
        <v>6399</v>
      </c>
      <c r="F309">
        <v>7.4999999999999997E-2</v>
      </c>
      <c r="G309">
        <v>0.99</v>
      </c>
      <c r="H309" s="1">
        <v>3.5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0</v>
      </c>
    </row>
    <row r="310" spans="1:14">
      <c r="A310" t="s">
        <v>99</v>
      </c>
      <c r="B310" s="3">
        <v>45658</v>
      </c>
      <c r="C310">
        <v>628538.30000000005</v>
      </c>
      <c r="D310">
        <v>48465.599999999999</v>
      </c>
      <c r="E310">
        <v>5759</v>
      </c>
      <c r="F310">
        <v>0.154</v>
      </c>
      <c r="G310">
        <v>0.875</v>
      </c>
      <c r="H310" s="1">
        <v>4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0</v>
      </c>
    </row>
    <row r="311" spans="1:14">
      <c r="A311" t="s">
        <v>99</v>
      </c>
      <c r="B311" s="3">
        <v>45689</v>
      </c>
      <c r="C311">
        <v>536524.84</v>
      </c>
      <c r="D311">
        <v>23702.38</v>
      </c>
      <c r="E311">
        <v>5285</v>
      </c>
      <c r="F311">
        <v>0.16700000000000001</v>
      </c>
      <c r="G311">
        <v>0.79700000000000004</v>
      </c>
      <c r="H311" s="1">
        <v>4.3</v>
      </c>
      <c r="I311">
        <v>0</v>
      </c>
      <c r="J311">
        <v>0</v>
      </c>
      <c r="K311">
        <v>1</v>
      </c>
      <c r="L311">
        <v>1</v>
      </c>
      <c r="M311">
        <v>0</v>
      </c>
      <c r="N311">
        <v>0</v>
      </c>
    </row>
    <row r="312" spans="1:14">
      <c r="A312" t="s">
        <v>99</v>
      </c>
      <c r="B312" s="3">
        <v>45717</v>
      </c>
      <c r="C312">
        <v>621677.30000000005</v>
      </c>
      <c r="D312">
        <v>54322.94</v>
      </c>
      <c r="E312">
        <v>5434</v>
      </c>
      <c r="F312">
        <v>0.2</v>
      </c>
      <c r="G312">
        <v>0.85699999999999998</v>
      </c>
      <c r="H312" s="1">
        <v>4.2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</row>
    <row r="313" spans="1:14">
      <c r="A313" t="s">
        <v>99</v>
      </c>
      <c r="B313" s="3">
        <v>45748</v>
      </c>
      <c r="C313">
        <v>771129.07</v>
      </c>
      <c r="D313">
        <v>86026.58</v>
      </c>
      <c r="E313">
        <v>7479</v>
      </c>
      <c r="F313">
        <v>0.14199999999999999</v>
      </c>
      <c r="G313">
        <v>0.89</v>
      </c>
      <c r="H313" s="10">
        <v>3.92</v>
      </c>
      <c r="I313">
        <v>0</v>
      </c>
      <c r="J313">
        <v>0</v>
      </c>
      <c r="K313">
        <v>1</v>
      </c>
      <c r="L313">
        <v>1</v>
      </c>
      <c r="M313">
        <v>0</v>
      </c>
      <c r="N313">
        <v>0</v>
      </c>
    </row>
    <row r="314" spans="1:14">
      <c r="A314" t="s">
        <v>100</v>
      </c>
      <c r="B314" s="3">
        <v>45658</v>
      </c>
      <c r="C314">
        <v>702052.47</v>
      </c>
      <c r="D314">
        <v>78967.520000000004</v>
      </c>
      <c r="E314">
        <v>6164</v>
      </c>
      <c r="F314">
        <v>2.1000000000000001E-2</v>
      </c>
      <c r="G314">
        <v>0.85499999999999998</v>
      </c>
      <c r="H314" s="1">
        <v>3.4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0</v>
      </c>
    </row>
    <row r="315" spans="1:14">
      <c r="A315" t="s">
        <v>100</v>
      </c>
      <c r="B315" s="3">
        <v>45689</v>
      </c>
      <c r="C315">
        <v>688368.46</v>
      </c>
      <c r="D315">
        <v>46767.99</v>
      </c>
      <c r="E315">
        <v>7973</v>
      </c>
      <c r="F315">
        <v>0.183</v>
      </c>
      <c r="G315">
        <v>0.94799999999999995</v>
      </c>
      <c r="H315" s="10">
        <v>3.92</v>
      </c>
      <c r="I315">
        <v>0</v>
      </c>
      <c r="J315">
        <v>1</v>
      </c>
      <c r="K315">
        <v>0</v>
      </c>
      <c r="L315">
        <v>0</v>
      </c>
      <c r="M315">
        <v>1</v>
      </c>
      <c r="N315">
        <v>0</v>
      </c>
    </row>
    <row r="316" spans="1:14">
      <c r="A316" t="s">
        <v>100</v>
      </c>
      <c r="B316" s="3">
        <v>45717</v>
      </c>
      <c r="C316">
        <v>712375.77</v>
      </c>
      <c r="D316">
        <v>62507.16</v>
      </c>
      <c r="E316">
        <v>6000</v>
      </c>
      <c r="F316">
        <v>9.0999999999999998E-2</v>
      </c>
      <c r="G316">
        <v>0.98199999999999998</v>
      </c>
      <c r="H316" s="1">
        <v>3.9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0</v>
      </c>
    </row>
    <row r="317" spans="1:14">
      <c r="A317" t="s">
        <v>100</v>
      </c>
      <c r="B317" s="3">
        <v>45748</v>
      </c>
      <c r="C317">
        <v>844710.67</v>
      </c>
      <c r="D317">
        <v>66456.28</v>
      </c>
      <c r="E317">
        <v>9967</v>
      </c>
      <c r="F317">
        <v>0.108</v>
      </c>
      <c r="G317">
        <v>0.94700000000000006</v>
      </c>
      <c r="H317" s="1">
        <v>4.2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0</v>
      </c>
    </row>
    <row r="318" spans="1:14">
      <c r="A318" t="s">
        <v>101</v>
      </c>
      <c r="B318" s="3">
        <v>45658</v>
      </c>
      <c r="C318">
        <v>620264.19999999995</v>
      </c>
      <c r="D318">
        <v>76614.320000000007</v>
      </c>
      <c r="E318">
        <v>5639</v>
      </c>
      <c r="F318">
        <v>0.17399999999999999</v>
      </c>
      <c r="G318">
        <v>0.92900000000000005</v>
      </c>
      <c r="H318" s="1">
        <v>4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</row>
    <row r="319" spans="1:14">
      <c r="A319" t="s">
        <v>101</v>
      </c>
      <c r="B319" s="3">
        <v>45689</v>
      </c>
      <c r="C319">
        <v>536845.42000000004</v>
      </c>
      <c r="D319">
        <v>24088.06</v>
      </c>
      <c r="E319">
        <v>3466</v>
      </c>
      <c r="F319">
        <v>0</v>
      </c>
      <c r="G319">
        <v>0.88</v>
      </c>
      <c r="H319" s="1">
        <v>3.8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</row>
    <row r="320" spans="1:14">
      <c r="A320" t="s">
        <v>101</v>
      </c>
      <c r="B320" s="3">
        <v>45717</v>
      </c>
      <c r="C320">
        <v>726776.22</v>
      </c>
      <c r="D320">
        <v>81902.58</v>
      </c>
      <c r="E320">
        <v>7775</v>
      </c>
      <c r="F320">
        <v>0.215</v>
      </c>
      <c r="G320">
        <v>0.85199999999999998</v>
      </c>
      <c r="H320" s="1">
        <v>4.2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</row>
    <row r="321" spans="1:14">
      <c r="A321" t="s">
        <v>101</v>
      </c>
      <c r="B321" s="3">
        <v>45748</v>
      </c>
      <c r="C321">
        <v>559660.84</v>
      </c>
      <c r="D321">
        <v>40553.11</v>
      </c>
      <c r="E321">
        <v>5317</v>
      </c>
      <c r="F321">
        <v>0.16500000000000001</v>
      </c>
      <c r="G321">
        <v>0.84299999999999997</v>
      </c>
      <c r="H321" s="1">
        <v>4.0999999999999996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C3E2-2159-8840-A2D4-63EA8248F1FD}">
  <dimension ref="A1:I354"/>
  <sheetViews>
    <sheetView topLeftCell="A4" zoomScale="86" workbookViewId="0">
      <selection activeCell="E14" sqref="E14"/>
    </sheetView>
  </sheetViews>
  <sheetFormatPr defaultColWidth="11.19921875" defaultRowHeight="13.8"/>
  <cols>
    <col min="1" max="2" width="22.796875" bestFit="1" customWidth="1"/>
    <col min="3" max="3" width="14.19921875" bestFit="1" customWidth="1"/>
    <col min="4" max="4" width="16.296875" bestFit="1" customWidth="1"/>
    <col min="5" max="5" width="32" customWidth="1"/>
    <col min="6" max="6" width="13.796875" bestFit="1" customWidth="1"/>
    <col min="7" max="9" width="12.796875" bestFit="1" customWidth="1"/>
  </cols>
  <sheetData>
    <row r="1" spans="1:9" ht="15" customHeight="1">
      <c r="A1" s="34" t="s">
        <v>152</v>
      </c>
      <c r="B1" s="34"/>
      <c r="C1" s="34"/>
      <c r="D1" s="34"/>
      <c r="E1" s="34"/>
      <c r="F1" s="34"/>
      <c r="G1" s="34"/>
      <c r="H1" s="34"/>
    </row>
    <row r="2" spans="1:9" ht="14.4" thickBot="1">
      <c r="A2" s="34"/>
      <c r="B2" s="34"/>
      <c r="C2" s="34"/>
      <c r="D2" s="34"/>
      <c r="E2" s="34"/>
      <c r="F2" s="34"/>
      <c r="G2" s="34"/>
      <c r="H2" s="34"/>
    </row>
    <row r="3" spans="1:9" ht="14.4">
      <c r="A3" s="7" t="s">
        <v>117</v>
      </c>
      <c r="B3" s="7"/>
    </row>
    <row r="4" spans="1:9" ht="165.6">
      <c r="A4" s="1" t="s">
        <v>118</v>
      </c>
      <c r="B4" s="1">
        <v>0.91214842098641846</v>
      </c>
      <c r="D4" s="12" t="s">
        <v>155</v>
      </c>
      <c r="E4" s="11" t="s">
        <v>156</v>
      </c>
    </row>
    <row r="5" spans="1:9">
      <c r="A5" s="1" t="s">
        <v>119</v>
      </c>
      <c r="B5" s="1">
        <v>0.8320147419080165</v>
      </c>
    </row>
    <row r="6" spans="1:9">
      <c r="A6" s="1" t="s">
        <v>120</v>
      </c>
      <c r="B6" s="1">
        <v>0.82601526840473138</v>
      </c>
    </row>
    <row r="7" spans="1:9">
      <c r="A7" s="1" t="s">
        <v>121</v>
      </c>
      <c r="B7" s="1">
        <v>43284.684563892763</v>
      </c>
    </row>
    <row r="8" spans="1:9" ht="14.4" thickBot="1">
      <c r="A8" s="5" t="s">
        <v>122</v>
      </c>
      <c r="B8" s="5">
        <v>320</v>
      </c>
    </row>
    <row r="10" spans="1:9" ht="14.4" thickBot="1">
      <c r="A10" t="s">
        <v>123</v>
      </c>
    </row>
    <row r="11" spans="1:9" ht="14.4">
      <c r="A11" s="6"/>
      <c r="B11" s="6" t="s">
        <v>128</v>
      </c>
      <c r="C11" s="6" t="s">
        <v>129</v>
      </c>
      <c r="D11" s="6" t="s">
        <v>130</v>
      </c>
      <c r="E11" s="6" t="s">
        <v>131</v>
      </c>
      <c r="F11" s="6" t="s">
        <v>132</v>
      </c>
    </row>
    <row r="12" spans="1:9">
      <c r="A12" s="1" t="s">
        <v>124</v>
      </c>
      <c r="B12" s="1">
        <v>11</v>
      </c>
      <c r="C12" s="1">
        <v>2858110930109.665</v>
      </c>
      <c r="D12" s="1">
        <v>259828266373.60593</v>
      </c>
      <c r="E12" s="1">
        <v>138.68129285885354</v>
      </c>
      <c r="F12" s="1">
        <v>3.1218575745439554E-112</v>
      </c>
    </row>
    <row r="13" spans="1:9">
      <c r="A13" s="1" t="s">
        <v>125</v>
      </c>
      <c r="B13" s="1">
        <v>308</v>
      </c>
      <c r="C13" s="1">
        <v>577057686681.07446</v>
      </c>
      <c r="D13" s="1">
        <v>1873563917.7956963</v>
      </c>
      <c r="E13" s="1"/>
      <c r="F13" s="1"/>
    </row>
    <row r="14" spans="1:9" ht="14.4" thickBot="1">
      <c r="A14" s="5" t="s">
        <v>126</v>
      </c>
      <c r="B14" s="5">
        <v>319</v>
      </c>
      <c r="C14" s="5">
        <v>3435168616790.7393</v>
      </c>
      <c r="D14" s="5"/>
      <c r="E14" s="5"/>
      <c r="F14" s="5"/>
    </row>
    <row r="15" spans="1:9" ht="14.4" thickBot="1"/>
    <row r="16" spans="1:9" ht="14.4">
      <c r="A16" s="6"/>
      <c r="B16" s="6" t="s">
        <v>133</v>
      </c>
      <c r="C16" s="6" t="s">
        <v>121</v>
      </c>
      <c r="D16" s="6" t="s">
        <v>134</v>
      </c>
      <c r="E16" s="6" t="s">
        <v>135</v>
      </c>
      <c r="F16" s="6" t="s">
        <v>136</v>
      </c>
      <c r="G16" s="6" t="s">
        <v>137</v>
      </c>
      <c r="H16" s="6" t="s">
        <v>138</v>
      </c>
      <c r="I16" s="6" t="s">
        <v>139</v>
      </c>
    </row>
    <row r="17" spans="1:9">
      <c r="A17" s="1" t="s">
        <v>127</v>
      </c>
      <c r="B17" s="1">
        <v>79274.517982977151</v>
      </c>
      <c r="C17" s="1">
        <v>47721.302276131799</v>
      </c>
      <c r="D17" s="1">
        <v>1.6611977084000693</v>
      </c>
      <c r="E17" s="1">
        <v>9.7691265009552497E-2</v>
      </c>
      <c r="F17" s="1">
        <v>-14626.497840868507</v>
      </c>
      <c r="G17" s="1">
        <v>173175.53380682282</v>
      </c>
      <c r="H17" s="1">
        <v>-14626.497840868507</v>
      </c>
      <c r="I17" s="1">
        <v>173175.53380682282</v>
      </c>
    </row>
    <row r="18" spans="1:9">
      <c r="A18" s="1" t="s">
        <v>4</v>
      </c>
      <c r="B18" s="1">
        <v>1.2002714773328365</v>
      </c>
      <c r="C18" s="1">
        <v>0.12573133138736578</v>
      </c>
      <c r="D18" s="1">
        <v>9.5463196332099507</v>
      </c>
      <c r="E18" s="1">
        <v>4.3475725706454067E-19</v>
      </c>
      <c r="F18" s="1">
        <v>0.95287043890679091</v>
      </c>
      <c r="G18" s="1">
        <v>1.4476725157588819</v>
      </c>
      <c r="H18" s="1">
        <v>0.95287043890679091</v>
      </c>
      <c r="I18" s="1">
        <v>1.4476725157588819</v>
      </c>
    </row>
    <row r="19" spans="1:9">
      <c r="A19" s="1" t="s">
        <v>5</v>
      </c>
      <c r="B19" s="1">
        <v>34.003428398974833</v>
      </c>
      <c r="C19" s="1">
        <v>1.0139043881602146</v>
      </c>
      <c r="D19" s="1">
        <v>33.537115329657397</v>
      </c>
      <c r="E19" s="1">
        <v>7.8814927091631643E-105</v>
      </c>
      <c r="F19" s="1">
        <v>32.008372785328739</v>
      </c>
      <c r="G19" s="1">
        <v>35.998484012620928</v>
      </c>
      <c r="H19" s="1">
        <v>32.008372785328739</v>
      </c>
      <c r="I19" s="1">
        <v>35.998484012620928</v>
      </c>
    </row>
    <row r="20" spans="1:9">
      <c r="A20" s="1" t="s">
        <v>6</v>
      </c>
      <c r="B20" s="1">
        <v>-45730.962305583831</v>
      </c>
      <c r="C20" s="1">
        <v>36449.450828166016</v>
      </c>
      <c r="D20" s="1">
        <v>-1.2546406397499301</v>
      </c>
      <c r="E20" s="1">
        <v>0.21056047075917106</v>
      </c>
      <c r="F20" s="1">
        <v>-117452.40107063537</v>
      </c>
      <c r="G20" s="1">
        <v>25990.476459467707</v>
      </c>
      <c r="H20" s="1">
        <v>-117452.40107063537</v>
      </c>
      <c r="I20" s="1">
        <v>25990.476459467707</v>
      </c>
    </row>
    <row r="21" spans="1:9">
      <c r="A21" s="1" t="s">
        <v>8</v>
      </c>
      <c r="B21" s="1">
        <v>300183.42966651981</v>
      </c>
      <c r="C21" s="1">
        <v>45818.216906086716</v>
      </c>
      <c r="D21" s="1">
        <v>6.5516174556029476</v>
      </c>
      <c r="E21" s="1">
        <v>2.3883321559357125E-10</v>
      </c>
      <c r="F21" s="1">
        <v>210027.10732175616</v>
      </c>
      <c r="G21" s="1">
        <v>390339.75201128348</v>
      </c>
      <c r="H21" s="1">
        <v>210027.10732175616</v>
      </c>
      <c r="I21" s="1">
        <v>390339.75201128348</v>
      </c>
    </row>
    <row r="22" spans="1:9">
      <c r="A22" s="1" t="s">
        <v>11</v>
      </c>
      <c r="B22" s="1">
        <v>13563.575860400133</v>
      </c>
      <c r="C22" s="1">
        <v>4776.2173090159604</v>
      </c>
      <c r="D22" s="1">
        <v>2.8398154821801072</v>
      </c>
      <c r="E22" s="1">
        <v>4.8143342808151367E-3</v>
      </c>
      <c r="F22" s="1">
        <v>4165.4321442687733</v>
      </c>
      <c r="G22" s="1">
        <v>22961.719576531494</v>
      </c>
      <c r="H22" s="1">
        <v>4165.4321442687733</v>
      </c>
      <c r="I22" s="1">
        <v>22961.719576531494</v>
      </c>
    </row>
    <row r="23" spans="1:9">
      <c r="A23" s="1" t="s">
        <v>145</v>
      </c>
      <c r="B23" s="1">
        <v>18109.961783366758</v>
      </c>
      <c r="C23" s="1">
        <v>6254.4007001255495</v>
      </c>
      <c r="D23" s="1">
        <v>2.8955550901948484</v>
      </c>
      <c r="E23" s="1">
        <v>4.0555708908953181E-3</v>
      </c>
      <c r="F23" s="1">
        <v>5803.2025144584413</v>
      </c>
      <c r="G23" s="1">
        <v>30416.721052275076</v>
      </c>
      <c r="H23" s="1">
        <v>5803.2025144584413</v>
      </c>
      <c r="I23" s="1">
        <v>30416.721052275076</v>
      </c>
    </row>
    <row r="24" spans="1:9">
      <c r="A24" s="1" t="s">
        <v>144</v>
      </c>
      <c r="B24" s="1">
        <v>6184.7585618352023</v>
      </c>
      <c r="C24" s="1">
        <v>7031.195143660595</v>
      </c>
      <c r="D24" s="1">
        <v>0.87961696915942522</v>
      </c>
      <c r="E24" s="1">
        <v>0.37975260961215296</v>
      </c>
      <c r="F24" s="1">
        <v>-7650.4960300253997</v>
      </c>
      <c r="G24" s="1">
        <v>20020.013153695803</v>
      </c>
      <c r="H24" s="1">
        <v>-7650.4960300253997</v>
      </c>
      <c r="I24" s="1">
        <v>20020.013153695803</v>
      </c>
    </row>
    <row r="25" spans="1:9">
      <c r="A25" s="1" t="s">
        <v>149</v>
      </c>
      <c r="B25" s="1">
        <v>18678.421268502745</v>
      </c>
      <c r="C25" s="1">
        <v>7140.6777274350479</v>
      </c>
      <c r="D25" s="1">
        <v>2.6157770986833331</v>
      </c>
      <c r="E25" s="1">
        <v>9.3410011208358793E-3</v>
      </c>
      <c r="F25" s="1">
        <v>4627.7382339740498</v>
      </c>
      <c r="G25" s="1">
        <v>32729.104303031439</v>
      </c>
      <c r="H25" s="1">
        <v>4627.7382339740498</v>
      </c>
      <c r="I25" s="1">
        <v>32729.104303031439</v>
      </c>
    </row>
    <row r="26" spans="1:9">
      <c r="A26" s="1" t="s">
        <v>146</v>
      </c>
      <c r="B26" s="1">
        <v>-11002.399816368496</v>
      </c>
      <c r="C26" s="1">
        <v>6487.4379657832769</v>
      </c>
      <c r="D26" s="1">
        <v>-1.6959545315729418</v>
      </c>
      <c r="E26" s="1">
        <v>9.0904959580823383E-2</v>
      </c>
      <c r="F26" s="1">
        <v>-23767.705581838301</v>
      </c>
      <c r="G26" s="1">
        <v>1762.9059491013093</v>
      </c>
      <c r="H26" s="1">
        <v>-23767.705581838301</v>
      </c>
      <c r="I26" s="1">
        <v>1762.9059491013093</v>
      </c>
    </row>
    <row r="27" spans="1:9">
      <c r="A27" s="1" t="s">
        <v>147</v>
      </c>
      <c r="B27" s="1">
        <v>-29091.73181756246</v>
      </c>
      <c r="C27" s="1">
        <v>6617.4332674599691</v>
      </c>
      <c r="D27" s="1">
        <v>-4.3962259446749226</v>
      </c>
      <c r="E27" s="1">
        <v>1.5183081442837636E-5</v>
      </c>
      <c r="F27" s="1">
        <v>-42112.828818760419</v>
      </c>
      <c r="G27" s="1">
        <v>-16070.634816364498</v>
      </c>
      <c r="H27" s="1">
        <v>-42112.828818760419</v>
      </c>
      <c r="I27" s="1">
        <v>-16070.634816364498</v>
      </c>
    </row>
    <row r="28" spans="1:9" ht="14.4" thickBot="1">
      <c r="A28" s="5" t="s">
        <v>148</v>
      </c>
      <c r="B28" s="5">
        <v>12786.003643850388</v>
      </c>
      <c r="C28" s="5">
        <v>9666.7455411097308</v>
      </c>
      <c r="D28" s="5">
        <v>1.3226792398202063</v>
      </c>
      <c r="E28" s="5">
        <v>0.18692330678357158</v>
      </c>
      <c r="F28" s="5">
        <v>-6235.2129350365731</v>
      </c>
      <c r="G28" s="5">
        <v>31807.220222737349</v>
      </c>
      <c r="H28" s="5">
        <v>-6235.2129350365731</v>
      </c>
      <c r="I28" s="5">
        <v>31807.220222737349</v>
      </c>
    </row>
    <row r="32" spans="1:9">
      <c r="A32" t="s">
        <v>140</v>
      </c>
    </row>
    <row r="33" spans="1:3" ht="14.4" thickBot="1"/>
    <row r="34" spans="1:3" ht="14.4">
      <c r="A34" s="6" t="s">
        <v>141</v>
      </c>
      <c r="B34" s="6" t="s">
        <v>142</v>
      </c>
      <c r="C34" s="6" t="s">
        <v>143</v>
      </c>
    </row>
    <row r="35" spans="1:3">
      <c r="A35" s="1">
        <v>1</v>
      </c>
      <c r="B35" s="1">
        <v>682229.24678184313</v>
      </c>
      <c r="C35" s="1">
        <v>-23396.626781843137</v>
      </c>
    </row>
    <row r="36" spans="1:3">
      <c r="A36" s="1">
        <v>2</v>
      </c>
      <c r="B36" s="1">
        <v>675025.27464652015</v>
      </c>
      <c r="C36" s="1">
        <v>-40589.274646520149</v>
      </c>
    </row>
    <row r="37" spans="1:3">
      <c r="A37" s="1">
        <v>3</v>
      </c>
      <c r="B37" s="1">
        <v>733461.03943531634</v>
      </c>
      <c r="C37" s="1">
        <v>-54738.979435316287</v>
      </c>
    </row>
    <row r="38" spans="1:3">
      <c r="A38" s="1">
        <v>4</v>
      </c>
      <c r="B38" s="1">
        <v>739594.27234058606</v>
      </c>
      <c r="C38" s="1">
        <v>-80673.972340586013</v>
      </c>
    </row>
    <row r="39" spans="1:3">
      <c r="A39" s="1">
        <v>5</v>
      </c>
      <c r="B39" s="1">
        <v>790325.34684482031</v>
      </c>
      <c r="C39" s="1">
        <v>-48983.906844820362</v>
      </c>
    </row>
    <row r="40" spans="1:3">
      <c r="A40" s="1">
        <v>6</v>
      </c>
      <c r="B40" s="1">
        <v>783624.33443846391</v>
      </c>
      <c r="C40" s="1">
        <v>-21788.994438463938</v>
      </c>
    </row>
    <row r="41" spans="1:3">
      <c r="A41" s="1">
        <v>7</v>
      </c>
      <c r="B41" s="1">
        <v>790508.96565650683</v>
      </c>
      <c r="C41" s="1">
        <v>16106.574343493208</v>
      </c>
    </row>
    <row r="42" spans="1:3">
      <c r="A42" s="1">
        <v>8</v>
      </c>
      <c r="B42" s="1">
        <v>775441.68644301675</v>
      </c>
      <c r="C42" s="1">
        <v>74722.573556983261</v>
      </c>
    </row>
    <row r="43" spans="1:3">
      <c r="A43" s="1">
        <v>9</v>
      </c>
      <c r="B43" s="1">
        <v>865467.0052614708</v>
      </c>
      <c r="C43" s="1">
        <v>65114.694738529157</v>
      </c>
    </row>
    <row r="44" spans="1:3">
      <c r="A44" s="1">
        <v>10</v>
      </c>
      <c r="B44" s="1">
        <v>803724.45622212789</v>
      </c>
      <c r="C44" s="1">
        <v>-24713.516222127946</v>
      </c>
    </row>
    <row r="45" spans="1:3">
      <c r="A45" s="1">
        <v>11</v>
      </c>
      <c r="B45" s="1">
        <v>758139.14681539452</v>
      </c>
      <c r="C45" s="1">
        <v>-35078.386815394508</v>
      </c>
    </row>
    <row r="46" spans="1:3">
      <c r="A46" s="1">
        <v>12</v>
      </c>
      <c r="B46" s="1">
        <v>869204.68395610992</v>
      </c>
      <c r="C46" s="1">
        <v>41587.256043890025</v>
      </c>
    </row>
    <row r="47" spans="1:3">
      <c r="A47" s="1">
        <v>13</v>
      </c>
      <c r="B47" s="1">
        <v>867702.08473054483</v>
      </c>
      <c r="C47" s="1">
        <v>54466.515269455151</v>
      </c>
    </row>
    <row r="48" spans="1:3">
      <c r="A48" s="1">
        <v>14</v>
      </c>
      <c r="B48" s="1">
        <v>765430.95263237599</v>
      </c>
      <c r="C48" s="1">
        <v>-38824.672632375965</v>
      </c>
    </row>
    <row r="49" spans="1:3">
      <c r="A49" s="1">
        <v>15</v>
      </c>
      <c r="B49" s="1">
        <v>739010.56018619915</v>
      </c>
      <c r="C49" s="1">
        <v>7490.529813800822</v>
      </c>
    </row>
    <row r="50" spans="1:3">
      <c r="A50" s="1">
        <v>16</v>
      </c>
      <c r="B50" s="1">
        <v>802969.61793635238</v>
      </c>
      <c r="C50" s="1">
        <v>31047.402063647634</v>
      </c>
    </row>
    <row r="51" spans="1:3">
      <c r="A51" s="1">
        <v>17</v>
      </c>
      <c r="B51" s="1">
        <v>680619.15857445006</v>
      </c>
      <c r="C51" s="1">
        <v>-14466.638574450044</v>
      </c>
    </row>
    <row r="52" spans="1:3">
      <c r="A52" s="1">
        <v>18</v>
      </c>
      <c r="B52" s="1">
        <v>591122.9248395093</v>
      </c>
      <c r="C52" s="1">
        <v>-17967.734839509358</v>
      </c>
    </row>
    <row r="53" spans="1:3">
      <c r="A53" s="1">
        <v>19</v>
      </c>
      <c r="B53" s="1">
        <v>687161.49194139778</v>
      </c>
      <c r="C53" s="1">
        <v>-20588.291941397823</v>
      </c>
    </row>
    <row r="54" spans="1:3">
      <c r="A54" s="1">
        <v>20</v>
      </c>
      <c r="B54" s="1">
        <v>596120.23293240916</v>
      </c>
      <c r="C54" s="1">
        <v>-4500.2829324092017</v>
      </c>
    </row>
    <row r="55" spans="1:3">
      <c r="A55" s="1">
        <v>21</v>
      </c>
      <c r="B55" s="1">
        <v>500570.57207770564</v>
      </c>
      <c r="C55" s="1">
        <v>-84848.752077705634</v>
      </c>
    </row>
    <row r="56" spans="1:3">
      <c r="A56" s="1">
        <v>22</v>
      </c>
      <c r="B56" s="1">
        <v>494152.13716870552</v>
      </c>
      <c r="C56" s="1">
        <v>-2247.007168705517</v>
      </c>
    </row>
    <row r="57" spans="1:3">
      <c r="A57" s="1">
        <v>23</v>
      </c>
      <c r="B57" s="1">
        <v>522713.30380976817</v>
      </c>
      <c r="C57" s="1">
        <v>33216.096190231852</v>
      </c>
    </row>
    <row r="58" spans="1:3">
      <c r="A58" s="1">
        <v>24</v>
      </c>
      <c r="B58" s="1">
        <v>550047.72454252141</v>
      </c>
      <c r="C58" s="1">
        <v>15763.265457478585</v>
      </c>
    </row>
    <row r="59" spans="1:3">
      <c r="A59" s="1">
        <v>25</v>
      </c>
      <c r="B59" s="1">
        <v>840596.16288686893</v>
      </c>
      <c r="C59" s="1">
        <v>-28825.022886868916</v>
      </c>
    </row>
    <row r="60" spans="1:3">
      <c r="A60" s="1">
        <v>26</v>
      </c>
      <c r="B60" s="1">
        <v>913132.2434948202</v>
      </c>
      <c r="C60" s="1">
        <v>-112680.30349482025</v>
      </c>
    </row>
    <row r="61" spans="1:3">
      <c r="A61" s="1">
        <v>27</v>
      </c>
      <c r="B61" s="1">
        <v>802860.38667163707</v>
      </c>
      <c r="C61" s="1">
        <v>-19187.56667163712</v>
      </c>
    </row>
    <row r="62" spans="1:3">
      <c r="A62" s="1">
        <v>28</v>
      </c>
      <c r="B62" s="1">
        <v>703624.17510829621</v>
      </c>
      <c r="C62" s="1">
        <v>-1982.2051082962425</v>
      </c>
    </row>
    <row r="63" spans="1:3">
      <c r="A63" s="1">
        <v>29</v>
      </c>
      <c r="B63" s="1">
        <v>566441.9751219647</v>
      </c>
      <c r="C63" s="1">
        <v>-54597.565121964726</v>
      </c>
    </row>
    <row r="64" spans="1:3">
      <c r="A64" s="1">
        <v>30</v>
      </c>
      <c r="B64" s="1">
        <v>502109.90535656142</v>
      </c>
      <c r="C64" s="1">
        <v>35273.884643438621</v>
      </c>
    </row>
    <row r="65" spans="1:3">
      <c r="A65" s="1">
        <v>31</v>
      </c>
      <c r="B65" s="1">
        <v>495108.06629444973</v>
      </c>
      <c r="C65" s="1">
        <v>5064.9537055502879</v>
      </c>
    </row>
    <row r="66" spans="1:3">
      <c r="A66" s="1">
        <v>32</v>
      </c>
      <c r="B66" s="1">
        <v>478009.66339760926</v>
      </c>
      <c r="C66" s="1">
        <v>-50092.283397609252</v>
      </c>
    </row>
    <row r="67" spans="1:3">
      <c r="A67" s="1">
        <v>33</v>
      </c>
      <c r="B67" s="1">
        <v>740940.48378689238</v>
      </c>
      <c r="C67" s="1">
        <v>-99075.453786892351</v>
      </c>
    </row>
    <row r="68" spans="1:3">
      <c r="A68" s="1">
        <v>34</v>
      </c>
      <c r="B68" s="1">
        <v>846807.37419354555</v>
      </c>
      <c r="C68" s="1">
        <v>-47329.614193545538</v>
      </c>
    </row>
    <row r="69" spans="1:3">
      <c r="A69" s="1">
        <v>35</v>
      </c>
      <c r="B69" s="1">
        <v>789140.74405517883</v>
      </c>
      <c r="C69" s="1">
        <v>9811.4259448212106</v>
      </c>
    </row>
    <row r="70" spans="1:3">
      <c r="A70" s="1">
        <v>36</v>
      </c>
      <c r="B70" s="1">
        <v>809515.07471344643</v>
      </c>
      <c r="C70" s="1">
        <v>-8535.2947134464048</v>
      </c>
    </row>
    <row r="71" spans="1:3">
      <c r="A71" s="1">
        <v>37</v>
      </c>
      <c r="B71" s="1">
        <v>778538.05493294727</v>
      </c>
      <c r="C71" s="1">
        <v>42055.875067052781</v>
      </c>
    </row>
    <row r="72" spans="1:3">
      <c r="A72" s="1">
        <v>38</v>
      </c>
      <c r="B72" s="1">
        <v>759580.32161745266</v>
      </c>
      <c r="C72" s="1">
        <v>-41249.791617452633</v>
      </c>
    </row>
    <row r="73" spans="1:3">
      <c r="A73" s="1">
        <v>39</v>
      </c>
      <c r="B73" s="1">
        <v>748727.70109190163</v>
      </c>
      <c r="C73" s="1">
        <v>-12094.301091901609</v>
      </c>
    </row>
    <row r="74" spans="1:3">
      <c r="A74" s="1">
        <v>40</v>
      </c>
      <c r="B74" s="1">
        <v>832591.22748985072</v>
      </c>
      <c r="C74" s="1">
        <v>-3967.3774898507399</v>
      </c>
    </row>
    <row r="75" spans="1:3">
      <c r="A75" s="1">
        <v>41</v>
      </c>
      <c r="B75" s="1">
        <v>587778.58773992513</v>
      </c>
      <c r="C75" s="1">
        <v>4417.2622600748437</v>
      </c>
    </row>
    <row r="76" spans="1:3">
      <c r="A76" s="1">
        <v>42</v>
      </c>
      <c r="B76" s="1">
        <v>523843.27115900943</v>
      </c>
      <c r="C76" s="1">
        <v>8801.1888409905368</v>
      </c>
    </row>
    <row r="77" spans="1:3">
      <c r="A77" s="1">
        <v>43</v>
      </c>
      <c r="B77" s="1">
        <v>588400.09214487404</v>
      </c>
      <c r="C77" s="1">
        <v>69029.08785512601</v>
      </c>
    </row>
    <row r="78" spans="1:3">
      <c r="A78" s="1">
        <v>44</v>
      </c>
      <c r="B78" s="1">
        <v>600650.36781943834</v>
      </c>
      <c r="C78" s="1">
        <v>4527.6321805616608</v>
      </c>
    </row>
    <row r="79" spans="1:3">
      <c r="A79" s="1">
        <v>45</v>
      </c>
      <c r="B79" s="1">
        <v>715326.06516582717</v>
      </c>
      <c r="C79" s="1">
        <v>-119858.46516582719</v>
      </c>
    </row>
    <row r="80" spans="1:3">
      <c r="A80" s="1">
        <v>46</v>
      </c>
      <c r="B80" s="1">
        <v>629028.16578868451</v>
      </c>
      <c r="C80" s="1">
        <v>-29424.765788684483</v>
      </c>
    </row>
    <row r="81" spans="1:3">
      <c r="A81" s="1">
        <v>47</v>
      </c>
      <c r="B81" s="1">
        <v>568810.33687472506</v>
      </c>
      <c r="C81" s="1">
        <v>45989.753125274903</v>
      </c>
    </row>
    <row r="82" spans="1:3">
      <c r="A82" s="1">
        <v>48</v>
      </c>
      <c r="B82" s="1">
        <v>559179.67005810933</v>
      </c>
      <c r="C82" s="1">
        <v>26186.059941890649</v>
      </c>
    </row>
    <row r="83" spans="1:3">
      <c r="A83" s="1">
        <v>49</v>
      </c>
      <c r="B83" s="1">
        <v>665816.90118401556</v>
      </c>
      <c r="C83" s="1">
        <v>-43005.161184015567</v>
      </c>
    </row>
    <row r="84" spans="1:3">
      <c r="A84" s="1">
        <v>50</v>
      </c>
      <c r="B84" s="1">
        <v>599703.5124701095</v>
      </c>
      <c r="C84" s="1">
        <v>3594.0575298904441</v>
      </c>
    </row>
    <row r="85" spans="1:3">
      <c r="A85" s="1">
        <v>51</v>
      </c>
      <c r="B85" s="1">
        <v>620553.18298149703</v>
      </c>
      <c r="C85" s="1">
        <v>5119.67701850296</v>
      </c>
    </row>
    <row r="86" spans="1:3">
      <c r="A86" s="1">
        <v>52</v>
      </c>
      <c r="B86" s="1">
        <v>749680.4166057189</v>
      </c>
      <c r="C86" s="1">
        <v>24134.723394281114</v>
      </c>
    </row>
    <row r="87" spans="1:3">
      <c r="A87" s="1">
        <v>53</v>
      </c>
      <c r="B87" s="1">
        <v>563486.2495097447</v>
      </c>
      <c r="C87" s="1">
        <v>-99951.999509744695</v>
      </c>
    </row>
    <row r="88" spans="1:3">
      <c r="A88" s="1">
        <v>54</v>
      </c>
      <c r="B88" s="1">
        <v>724466.18499861541</v>
      </c>
      <c r="C88" s="1">
        <v>22211.565001384588</v>
      </c>
    </row>
    <row r="89" spans="1:3">
      <c r="A89" s="1">
        <v>55</v>
      </c>
      <c r="B89" s="1">
        <v>689038.94603836501</v>
      </c>
      <c r="C89" s="1">
        <v>31813.553961634985</v>
      </c>
    </row>
    <row r="90" spans="1:3">
      <c r="A90" s="1">
        <v>56</v>
      </c>
      <c r="B90" s="1">
        <v>537127.75159619434</v>
      </c>
      <c r="C90" s="1">
        <v>-49662.841596194368</v>
      </c>
    </row>
    <row r="91" spans="1:3">
      <c r="A91" s="1">
        <v>57</v>
      </c>
      <c r="B91" s="1">
        <v>528210.41036968993</v>
      </c>
      <c r="C91" s="1">
        <v>-10161.150369689916</v>
      </c>
    </row>
    <row r="92" spans="1:3">
      <c r="A92" s="1">
        <v>58</v>
      </c>
      <c r="B92" s="1">
        <v>525423.21704592882</v>
      </c>
      <c r="C92" s="1">
        <v>-25124.737045928836</v>
      </c>
    </row>
    <row r="93" spans="1:3">
      <c r="A93" s="1">
        <v>59</v>
      </c>
      <c r="B93" s="1">
        <v>668788.87871837523</v>
      </c>
      <c r="C93" s="1">
        <v>-51497.728718375205</v>
      </c>
    </row>
    <row r="94" spans="1:3">
      <c r="A94" s="1">
        <v>60</v>
      </c>
      <c r="B94" s="1">
        <v>608252.8023491092</v>
      </c>
      <c r="C94" s="1">
        <v>-54496.372349109151</v>
      </c>
    </row>
    <row r="95" spans="1:3">
      <c r="A95" s="1">
        <v>61</v>
      </c>
      <c r="B95" s="1">
        <v>691607.91212041758</v>
      </c>
      <c r="C95" s="1">
        <v>57951.797879582387</v>
      </c>
    </row>
    <row r="96" spans="1:3">
      <c r="A96" s="1">
        <v>62</v>
      </c>
      <c r="B96" s="1">
        <v>573083.88384678401</v>
      </c>
      <c r="C96" s="1">
        <v>42882.596153215971</v>
      </c>
    </row>
    <row r="97" spans="1:3">
      <c r="A97" s="1">
        <v>63</v>
      </c>
      <c r="B97" s="1">
        <v>583974.12037710985</v>
      </c>
      <c r="C97" s="1">
        <v>-11962.920377109898</v>
      </c>
    </row>
    <row r="98" spans="1:3">
      <c r="A98" s="1">
        <v>64</v>
      </c>
      <c r="B98" s="1">
        <v>720489.09584902297</v>
      </c>
      <c r="C98" s="1">
        <v>41371.094150976976</v>
      </c>
    </row>
    <row r="99" spans="1:3">
      <c r="A99" s="1">
        <v>65</v>
      </c>
      <c r="B99" s="1">
        <v>809128.30843864265</v>
      </c>
      <c r="C99" s="1">
        <v>-24625.628438642598</v>
      </c>
    </row>
    <row r="100" spans="1:3">
      <c r="A100" s="1">
        <v>66</v>
      </c>
      <c r="B100" s="1">
        <v>739527.59800440725</v>
      </c>
      <c r="C100" s="1">
        <v>-22386.048004407203</v>
      </c>
    </row>
    <row r="101" spans="1:3">
      <c r="A101" s="1">
        <v>67</v>
      </c>
      <c r="B101" s="1">
        <v>844924.4292108696</v>
      </c>
      <c r="C101" s="1">
        <v>-159545.34921086964</v>
      </c>
    </row>
    <row r="102" spans="1:3">
      <c r="A102" s="1">
        <v>68</v>
      </c>
      <c r="B102" s="1">
        <v>735333.49468511622</v>
      </c>
      <c r="C102" s="1">
        <v>5163.1553148837993</v>
      </c>
    </row>
    <row r="103" spans="1:3">
      <c r="A103" s="1">
        <v>69</v>
      </c>
      <c r="B103" s="1">
        <v>580833.1927414065</v>
      </c>
      <c r="C103" s="1">
        <v>81093.947258593515</v>
      </c>
    </row>
    <row r="104" spans="1:3">
      <c r="A104" s="1">
        <v>70</v>
      </c>
      <c r="B104" s="1">
        <v>490399.20027268893</v>
      </c>
      <c r="C104" s="1">
        <v>-11348.700272688933</v>
      </c>
    </row>
    <row r="105" spans="1:3">
      <c r="A105" s="1">
        <v>71</v>
      </c>
      <c r="B105" s="1">
        <v>581123.73146960896</v>
      </c>
      <c r="C105" s="1">
        <v>23900.138530391036</v>
      </c>
    </row>
    <row r="106" spans="1:3">
      <c r="A106" s="1">
        <v>72</v>
      </c>
      <c r="B106" s="1">
        <v>630880.88719632884</v>
      </c>
      <c r="C106" s="1">
        <v>43893.202803671127</v>
      </c>
    </row>
    <row r="107" spans="1:3">
      <c r="A107" s="1">
        <v>73</v>
      </c>
      <c r="B107" s="1">
        <v>591782.52747005317</v>
      </c>
      <c r="C107" s="1">
        <v>24286.882529946859</v>
      </c>
    </row>
    <row r="108" spans="1:3">
      <c r="A108" s="1">
        <v>74</v>
      </c>
      <c r="B108" s="1">
        <v>687285.28542706883</v>
      </c>
      <c r="C108" s="1">
        <v>-56455.345427068882</v>
      </c>
    </row>
    <row r="109" spans="1:3">
      <c r="A109" s="1">
        <v>75</v>
      </c>
      <c r="B109" s="1">
        <v>695456.93649548071</v>
      </c>
      <c r="C109" s="1">
        <v>92630.743504519342</v>
      </c>
    </row>
    <row r="110" spans="1:3">
      <c r="A110" s="1">
        <v>76</v>
      </c>
      <c r="B110" s="1">
        <v>708803.57060625451</v>
      </c>
      <c r="C110" s="1">
        <v>-27963.210606254521</v>
      </c>
    </row>
    <row r="111" spans="1:3">
      <c r="A111" s="1">
        <v>77</v>
      </c>
      <c r="B111" s="1">
        <v>653937.53372963925</v>
      </c>
      <c r="C111" s="1">
        <v>-10280.063729639282</v>
      </c>
    </row>
    <row r="112" spans="1:3">
      <c r="A112" s="1">
        <v>78</v>
      </c>
      <c r="B112" s="1">
        <v>648305.49761942914</v>
      </c>
      <c r="C112" s="1">
        <v>42807.102380570839</v>
      </c>
    </row>
    <row r="113" spans="1:3">
      <c r="A113" s="1">
        <v>79</v>
      </c>
      <c r="B113" s="1">
        <v>725200.63114654203</v>
      </c>
      <c r="C113" s="1">
        <v>51721.538853458012</v>
      </c>
    </row>
    <row r="114" spans="1:3">
      <c r="A114" s="1">
        <v>80</v>
      </c>
      <c r="B114" s="1">
        <v>659636.44446655444</v>
      </c>
      <c r="C114" s="1">
        <v>-23075.104466554476</v>
      </c>
    </row>
    <row r="115" spans="1:3">
      <c r="A115" s="1">
        <v>81</v>
      </c>
      <c r="B115" s="1">
        <v>660477.27141436422</v>
      </c>
      <c r="C115" s="1">
        <v>-39107.691414364264</v>
      </c>
    </row>
    <row r="116" spans="1:3">
      <c r="A116" s="1">
        <v>82</v>
      </c>
      <c r="B116" s="1">
        <v>648516.61532108928</v>
      </c>
      <c r="C116" s="1">
        <v>33691.394678910729</v>
      </c>
    </row>
    <row r="117" spans="1:3">
      <c r="A117" s="1">
        <v>83</v>
      </c>
      <c r="B117" s="1">
        <v>662604.32947079465</v>
      </c>
      <c r="C117" s="1">
        <v>64637.530529205338</v>
      </c>
    </row>
    <row r="118" spans="1:3">
      <c r="A118" s="1">
        <v>84</v>
      </c>
      <c r="B118" s="1">
        <v>568731.87271248305</v>
      </c>
      <c r="C118" s="1">
        <v>368.90728751698043</v>
      </c>
    </row>
    <row r="119" spans="1:3">
      <c r="A119" s="1">
        <v>85</v>
      </c>
      <c r="B119" s="1">
        <v>575846.67246974586</v>
      </c>
      <c r="C119" s="1">
        <v>-1410.3824697458185</v>
      </c>
    </row>
    <row r="120" spans="1:3">
      <c r="A120" s="1">
        <v>86</v>
      </c>
      <c r="B120" s="1">
        <v>648305.55273960624</v>
      </c>
      <c r="C120" s="1">
        <v>-36538.832739606267</v>
      </c>
    </row>
    <row r="121" spans="1:3">
      <c r="A121" s="1">
        <v>87</v>
      </c>
      <c r="B121" s="1">
        <v>630374.18159412267</v>
      </c>
      <c r="C121" s="1">
        <v>-15777.861594122718</v>
      </c>
    </row>
    <row r="122" spans="1:3">
      <c r="A122" s="1">
        <v>88</v>
      </c>
      <c r="B122" s="1">
        <v>467147.08345837513</v>
      </c>
      <c r="C122" s="1">
        <v>-16435.163458375144</v>
      </c>
    </row>
    <row r="123" spans="1:3">
      <c r="A123" s="1">
        <v>89</v>
      </c>
      <c r="B123" s="1">
        <v>689458.00221815298</v>
      </c>
      <c r="C123" s="1">
        <v>21755.457781846984</v>
      </c>
    </row>
    <row r="124" spans="1:3">
      <c r="A124" s="1">
        <v>90</v>
      </c>
      <c r="B124" s="1">
        <v>773059.39825806231</v>
      </c>
      <c r="C124" s="1">
        <v>-145887.49825806229</v>
      </c>
    </row>
    <row r="125" spans="1:3">
      <c r="A125" s="1">
        <v>91</v>
      </c>
      <c r="B125" s="1">
        <v>737615.14567430748</v>
      </c>
      <c r="C125" s="1">
        <v>2237.4343256924767</v>
      </c>
    </row>
    <row r="126" spans="1:3">
      <c r="A126" s="1">
        <v>92</v>
      </c>
      <c r="B126" s="1">
        <v>571869.4216357877</v>
      </c>
      <c r="C126" s="1">
        <v>14437.798364212271</v>
      </c>
    </row>
    <row r="127" spans="1:3">
      <c r="A127" s="1">
        <v>93</v>
      </c>
      <c r="B127" s="1">
        <v>595372.43984243867</v>
      </c>
      <c r="C127" s="1">
        <v>-9434.9598424386932</v>
      </c>
    </row>
    <row r="128" spans="1:3">
      <c r="A128" s="1">
        <v>94</v>
      </c>
      <c r="B128" s="1">
        <v>703381.25086890091</v>
      </c>
      <c r="C128" s="1">
        <v>50092.299131099135</v>
      </c>
    </row>
    <row r="129" spans="1:3">
      <c r="A129" s="1">
        <v>95</v>
      </c>
      <c r="B129" s="1">
        <v>781576.78020931745</v>
      </c>
      <c r="C129" s="1">
        <v>56673.539790682495</v>
      </c>
    </row>
    <row r="130" spans="1:3">
      <c r="A130" s="1">
        <v>96</v>
      </c>
      <c r="B130" s="1">
        <v>625820.2896801061</v>
      </c>
      <c r="C130" s="1">
        <v>-17922.169680106104</v>
      </c>
    </row>
    <row r="131" spans="1:3">
      <c r="A131" s="1">
        <v>97</v>
      </c>
      <c r="B131" s="1">
        <v>713569.98884718679</v>
      </c>
      <c r="C131" s="1">
        <v>-22456.368847186794</v>
      </c>
    </row>
    <row r="132" spans="1:3">
      <c r="A132" s="1">
        <v>98</v>
      </c>
      <c r="B132" s="1">
        <v>675191.57142772363</v>
      </c>
      <c r="C132" s="1">
        <v>60317.828572276398</v>
      </c>
    </row>
    <row r="133" spans="1:3">
      <c r="A133" s="1">
        <v>99</v>
      </c>
      <c r="B133" s="1">
        <v>628280.60532676731</v>
      </c>
      <c r="C133" s="1">
        <v>-22505.275326767354</v>
      </c>
    </row>
    <row r="134" spans="1:3">
      <c r="A134" s="1">
        <v>100</v>
      </c>
      <c r="B134" s="1">
        <v>667296.36674753262</v>
      </c>
      <c r="C134" s="1">
        <v>7881.3132524674293</v>
      </c>
    </row>
    <row r="135" spans="1:3">
      <c r="A135" s="1">
        <v>101</v>
      </c>
      <c r="B135" s="1">
        <v>594018.87167622463</v>
      </c>
      <c r="C135" s="1">
        <v>41162.478323775344</v>
      </c>
    </row>
    <row r="136" spans="1:3">
      <c r="A136" s="1">
        <v>102</v>
      </c>
      <c r="B136" s="1">
        <v>630913.71950659354</v>
      </c>
      <c r="C136" s="1">
        <v>-44286.779506593593</v>
      </c>
    </row>
    <row r="137" spans="1:3">
      <c r="A137" s="1">
        <v>103</v>
      </c>
      <c r="B137" s="1">
        <v>712578.84331819136</v>
      </c>
      <c r="C137" s="1">
        <v>27523.796681808657</v>
      </c>
    </row>
    <row r="138" spans="1:3">
      <c r="A138" s="1">
        <v>104</v>
      </c>
      <c r="B138" s="1">
        <v>540715.86283988785</v>
      </c>
      <c r="C138" s="1">
        <v>84798.177160112187</v>
      </c>
    </row>
    <row r="139" spans="1:3">
      <c r="A139" s="1">
        <v>105</v>
      </c>
      <c r="B139" s="1">
        <v>688317.01217189082</v>
      </c>
      <c r="C139" s="1">
        <v>38910.187828109134</v>
      </c>
    </row>
    <row r="140" spans="1:3">
      <c r="A140" s="1">
        <v>106</v>
      </c>
      <c r="B140" s="1">
        <v>786871.71660532535</v>
      </c>
      <c r="C140" s="1">
        <v>-3073.8266053253319</v>
      </c>
    </row>
    <row r="141" spans="1:3">
      <c r="A141" s="1">
        <v>107</v>
      </c>
      <c r="B141" s="1">
        <v>718385.69865243754</v>
      </c>
      <c r="C141" s="1">
        <v>76768.141347562429</v>
      </c>
    </row>
    <row r="142" spans="1:3">
      <c r="A142" s="1">
        <v>108</v>
      </c>
      <c r="B142" s="1">
        <v>667534.05627456761</v>
      </c>
      <c r="C142" s="1">
        <v>-1939.1162745676702</v>
      </c>
    </row>
    <row r="143" spans="1:3">
      <c r="A143" s="1">
        <v>109</v>
      </c>
      <c r="B143" s="1">
        <v>672684.08609414764</v>
      </c>
      <c r="C143" s="1">
        <v>36794.303905852372</v>
      </c>
    </row>
    <row r="144" spans="1:3">
      <c r="A144" s="1">
        <v>110</v>
      </c>
      <c r="B144" s="1">
        <v>647215.04781955923</v>
      </c>
      <c r="C144" s="1">
        <v>16947.442180440761</v>
      </c>
    </row>
    <row r="145" spans="1:3">
      <c r="A145" s="1">
        <v>111</v>
      </c>
      <c r="B145" s="1">
        <v>656661.11868565995</v>
      </c>
      <c r="C145" s="1">
        <v>-23166.90868565999</v>
      </c>
    </row>
    <row r="146" spans="1:3">
      <c r="A146" s="1">
        <v>112</v>
      </c>
      <c r="B146" s="1">
        <v>600888.43783603329</v>
      </c>
      <c r="C146" s="1">
        <v>112722.72216396674</v>
      </c>
    </row>
    <row r="147" spans="1:3">
      <c r="A147" s="1">
        <v>113</v>
      </c>
      <c r="B147" s="1">
        <v>739462.91152265377</v>
      </c>
      <c r="C147" s="1">
        <v>38935.058477346203</v>
      </c>
    </row>
    <row r="148" spans="1:3">
      <c r="A148" s="1">
        <v>114</v>
      </c>
      <c r="B148" s="1">
        <v>840328.07894269156</v>
      </c>
      <c r="C148" s="1">
        <v>33051.941057308461</v>
      </c>
    </row>
    <row r="149" spans="1:3">
      <c r="A149" s="1">
        <v>115</v>
      </c>
      <c r="B149" s="1">
        <v>747470.38701925869</v>
      </c>
      <c r="C149" s="1">
        <v>-50182.487019258668</v>
      </c>
    </row>
    <row r="150" spans="1:3">
      <c r="A150" s="1">
        <v>116</v>
      </c>
      <c r="B150" s="1">
        <v>759150.76189131546</v>
      </c>
      <c r="C150" s="1">
        <v>-41075.971891315421</v>
      </c>
    </row>
    <row r="151" spans="1:3">
      <c r="A151" s="1">
        <v>117</v>
      </c>
      <c r="B151" s="1">
        <v>714894.43368480809</v>
      </c>
      <c r="C151" s="1">
        <v>47.99631519196555</v>
      </c>
    </row>
    <row r="152" spans="1:3">
      <c r="A152" s="1">
        <v>118</v>
      </c>
      <c r="B152" s="1">
        <v>733222.94259354204</v>
      </c>
      <c r="C152" s="1">
        <v>87296.097406457993</v>
      </c>
    </row>
    <row r="153" spans="1:3">
      <c r="A153" s="1">
        <v>119</v>
      </c>
      <c r="B153" s="1">
        <v>755527.80020791083</v>
      </c>
      <c r="C153" s="1">
        <v>-71310.480207910878</v>
      </c>
    </row>
    <row r="154" spans="1:3">
      <c r="A154" s="1">
        <v>120</v>
      </c>
      <c r="B154" s="1">
        <v>740456.00862709247</v>
      </c>
      <c r="C154" s="1">
        <v>-4975.8186270925216</v>
      </c>
    </row>
    <row r="155" spans="1:3">
      <c r="A155" s="1">
        <v>121</v>
      </c>
      <c r="B155" s="1">
        <v>562967.01488006883</v>
      </c>
      <c r="C155" s="1">
        <v>-53482.204880068835</v>
      </c>
    </row>
    <row r="156" spans="1:3">
      <c r="A156" s="1">
        <v>122</v>
      </c>
      <c r="B156" s="1">
        <v>618290.30664938525</v>
      </c>
      <c r="C156" s="1">
        <v>36026.783350614714</v>
      </c>
    </row>
    <row r="157" spans="1:3">
      <c r="A157" s="1">
        <v>123</v>
      </c>
      <c r="B157" s="1">
        <v>589942.24367008416</v>
      </c>
      <c r="C157" s="1">
        <v>-32454.983670084155</v>
      </c>
    </row>
    <row r="158" spans="1:3">
      <c r="A158" s="1">
        <v>124</v>
      </c>
      <c r="B158" s="1">
        <v>505530.00270120573</v>
      </c>
      <c r="C158" s="1">
        <v>-64254.582701205742</v>
      </c>
    </row>
    <row r="159" spans="1:3">
      <c r="A159" s="1">
        <v>125</v>
      </c>
      <c r="B159" s="1">
        <v>838258.19741694187</v>
      </c>
      <c r="C159" s="1">
        <v>76285.972583058174</v>
      </c>
    </row>
    <row r="160" spans="1:3">
      <c r="A160" s="1">
        <v>126</v>
      </c>
      <c r="B160" s="1">
        <v>863992.45596053591</v>
      </c>
      <c r="C160" s="1">
        <v>-21552.785960535868</v>
      </c>
    </row>
    <row r="161" spans="1:3">
      <c r="A161" s="1">
        <v>127</v>
      </c>
      <c r="B161" s="1">
        <v>802230.376627138</v>
      </c>
      <c r="C161" s="1">
        <v>39927.543372862041</v>
      </c>
    </row>
    <row r="162" spans="1:3">
      <c r="A162" s="1">
        <v>128</v>
      </c>
      <c r="B162" s="1">
        <v>717261.68081016687</v>
      </c>
      <c r="C162" s="1">
        <v>-20106.380810166826</v>
      </c>
    </row>
    <row r="163" spans="1:3">
      <c r="A163" s="1">
        <v>129</v>
      </c>
      <c r="B163" s="1">
        <v>827087.04795801151</v>
      </c>
      <c r="C163" s="1">
        <v>21931.25204198854</v>
      </c>
    </row>
    <row r="164" spans="1:3">
      <c r="A164" s="1">
        <v>130</v>
      </c>
      <c r="B164" s="1">
        <v>799221.07263251801</v>
      </c>
      <c r="C164" s="1">
        <v>2609.2773674819618</v>
      </c>
    </row>
    <row r="165" spans="1:3">
      <c r="A165" s="1">
        <v>131</v>
      </c>
      <c r="B165" s="1">
        <v>792270.51533685182</v>
      </c>
      <c r="C165" s="1">
        <v>-67035.235336851794</v>
      </c>
    </row>
    <row r="166" spans="1:3">
      <c r="A166" s="1">
        <v>132</v>
      </c>
      <c r="B166" s="1">
        <v>828620.22048438096</v>
      </c>
      <c r="C166" s="1">
        <v>-17167.500484380987</v>
      </c>
    </row>
    <row r="167" spans="1:3">
      <c r="A167" s="1">
        <v>133</v>
      </c>
      <c r="B167" s="1">
        <v>582208.14620407065</v>
      </c>
      <c r="C167" s="1">
        <v>-54908.016204070649</v>
      </c>
    </row>
    <row r="168" spans="1:3">
      <c r="A168" s="1">
        <v>134</v>
      </c>
      <c r="B168" s="1">
        <v>450285.76601456437</v>
      </c>
      <c r="C168" s="1">
        <v>-49454.116014564352</v>
      </c>
    </row>
    <row r="169" spans="1:3">
      <c r="A169" s="1">
        <v>135</v>
      </c>
      <c r="B169" s="1">
        <v>602960.2447791202</v>
      </c>
      <c r="C169" s="1">
        <v>-9712.9947791201994</v>
      </c>
    </row>
    <row r="170" spans="1:3">
      <c r="A170" s="1">
        <v>136</v>
      </c>
      <c r="B170" s="1">
        <v>549298.95531471574</v>
      </c>
      <c r="C170" s="1">
        <v>-20223.005314715789</v>
      </c>
    </row>
    <row r="171" spans="1:3">
      <c r="A171" s="1">
        <v>137</v>
      </c>
      <c r="B171" s="1">
        <v>708101.79433923622</v>
      </c>
      <c r="C171" s="1">
        <v>-74463.764339236193</v>
      </c>
    </row>
    <row r="172" spans="1:3">
      <c r="A172" s="1">
        <v>138</v>
      </c>
      <c r="B172" s="1">
        <v>706979.73636019602</v>
      </c>
      <c r="C172" s="1">
        <v>36369.103639803943</v>
      </c>
    </row>
    <row r="173" spans="1:3">
      <c r="A173" s="1">
        <v>139</v>
      </c>
      <c r="B173" s="1">
        <v>683707.53392168926</v>
      </c>
      <c r="C173" s="1">
        <v>75120.106078310753</v>
      </c>
    </row>
    <row r="174" spans="1:3">
      <c r="A174" s="1">
        <v>140</v>
      </c>
      <c r="B174" s="1">
        <v>618198.55602274451</v>
      </c>
      <c r="C174" s="1">
        <v>28361.153977255453</v>
      </c>
    </row>
    <row r="175" spans="1:3">
      <c r="A175" s="1">
        <v>141</v>
      </c>
      <c r="B175" s="1">
        <v>678124.94982557604</v>
      </c>
      <c r="C175" s="1">
        <v>37765.580174423987</v>
      </c>
    </row>
    <row r="176" spans="1:3">
      <c r="A176" s="1">
        <v>142</v>
      </c>
      <c r="B176" s="1">
        <v>707203.2930046313</v>
      </c>
      <c r="C176" s="1">
        <v>7894.2769953686511</v>
      </c>
    </row>
    <row r="177" spans="1:3">
      <c r="A177" s="1">
        <v>143</v>
      </c>
      <c r="B177" s="1">
        <v>645233.39478325413</v>
      </c>
      <c r="C177" s="1">
        <v>37405.885216745897</v>
      </c>
    </row>
    <row r="178" spans="1:3">
      <c r="A178" s="1">
        <v>144</v>
      </c>
      <c r="B178" s="1">
        <v>680427.66172553704</v>
      </c>
      <c r="C178" s="1">
        <v>14670.848274462973</v>
      </c>
    </row>
    <row r="179" spans="1:3">
      <c r="A179" s="1">
        <v>145</v>
      </c>
      <c r="B179" s="1">
        <v>594035.66761499934</v>
      </c>
      <c r="C179" s="1">
        <v>-16303.097614999395</v>
      </c>
    </row>
    <row r="180" spans="1:3">
      <c r="A180" s="1">
        <v>146</v>
      </c>
      <c r="B180" s="1">
        <v>550651.82712424919</v>
      </c>
      <c r="C180" s="1">
        <v>-13593.497124249232</v>
      </c>
    </row>
    <row r="181" spans="1:3">
      <c r="A181" s="1">
        <v>147</v>
      </c>
      <c r="B181" s="1">
        <v>585478.67145892035</v>
      </c>
      <c r="C181" s="1">
        <v>16090.198541079648</v>
      </c>
    </row>
    <row r="182" spans="1:3">
      <c r="A182" s="1">
        <v>148</v>
      </c>
      <c r="B182" s="1">
        <v>552223.48614630394</v>
      </c>
      <c r="C182" s="1">
        <v>18741.353853696026</v>
      </c>
    </row>
    <row r="183" spans="1:3">
      <c r="A183" s="1">
        <v>149</v>
      </c>
      <c r="B183" s="1">
        <v>654915.86139502435</v>
      </c>
      <c r="C183" s="1">
        <v>-40890.951395024313</v>
      </c>
    </row>
    <row r="184" spans="1:3">
      <c r="A184" s="1">
        <v>150</v>
      </c>
      <c r="B184" s="1">
        <v>723485.1811309834</v>
      </c>
      <c r="C184" s="1">
        <v>-10616.831130983424</v>
      </c>
    </row>
    <row r="185" spans="1:3">
      <c r="A185" s="1">
        <v>151</v>
      </c>
      <c r="B185" s="1">
        <v>673983.40433325386</v>
      </c>
      <c r="C185" s="1">
        <v>22760.745666746167</v>
      </c>
    </row>
    <row r="186" spans="1:3">
      <c r="A186" s="1">
        <v>152</v>
      </c>
      <c r="B186" s="1">
        <v>714867.45517497277</v>
      </c>
      <c r="C186" s="1">
        <v>10980.534825027222</v>
      </c>
    </row>
    <row r="187" spans="1:3">
      <c r="A187" s="1">
        <v>153</v>
      </c>
      <c r="B187" s="1">
        <v>800711.46018440579</v>
      </c>
      <c r="C187" s="1">
        <v>-15683.210184405791</v>
      </c>
    </row>
    <row r="188" spans="1:3">
      <c r="A188" s="1">
        <v>154</v>
      </c>
      <c r="B188" s="1">
        <v>685120.47165504028</v>
      </c>
      <c r="C188" s="1">
        <v>13372.198344959761</v>
      </c>
    </row>
    <row r="189" spans="1:3">
      <c r="A189" s="1">
        <v>155</v>
      </c>
      <c r="B189" s="1">
        <v>725767.40625857387</v>
      </c>
      <c r="C189" s="1">
        <v>-39937.166258573881</v>
      </c>
    </row>
    <row r="190" spans="1:3">
      <c r="A190" s="1">
        <v>156</v>
      </c>
      <c r="B190" s="1">
        <v>702703.1663812371</v>
      </c>
      <c r="C190" s="1">
        <v>-384.22638123715296</v>
      </c>
    </row>
    <row r="191" spans="1:3">
      <c r="A191" s="1">
        <v>157</v>
      </c>
      <c r="B191" s="1">
        <v>714228.42250911053</v>
      </c>
      <c r="C191" s="1">
        <v>-14150.102509110584</v>
      </c>
    </row>
    <row r="192" spans="1:3">
      <c r="A192" s="1">
        <v>158</v>
      </c>
      <c r="B192" s="1">
        <v>629770.27022947511</v>
      </c>
      <c r="C192" s="1">
        <v>-27767.950229475158</v>
      </c>
    </row>
    <row r="193" spans="1:3">
      <c r="A193" s="1">
        <v>159</v>
      </c>
      <c r="B193" s="1">
        <v>653937.34144752345</v>
      </c>
      <c r="C193" s="1">
        <v>70278.728552476503</v>
      </c>
    </row>
    <row r="194" spans="1:3">
      <c r="A194" s="1">
        <v>160</v>
      </c>
      <c r="B194" s="1">
        <v>560841.42960690439</v>
      </c>
      <c r="C194" s="1">
        <v>60131.600393095636</v>
      </c>
    </row>
    <row r="195" spans="1:3">
      <c r="A195" s="1">
        <v>161</v>
      </c>
      <c r="B195" s="1">
        <v>706906.09626353695</v>
      </c>
      <c r="C195" s="1">
        <v>-56426.036263536895</v>
      </c>
    </row>
    <row r="196" spans="1:3">
      <c r="A196" s="1">
        <v>162</v>
      </c>
      <c r="B196" s="1">
        <v>711421.36774237093</v>
      </c>
      <c r="C196" s="1">
        <v>66877.512257629074</v>
      </c>
    </row>
    <row r="197" spans="1:3">
      <c r="A197" s="1">
        <v>163</v>
      </c>
      <c r="B197" s="1">
        <v>694931.68284334091</v>
      </c>
      <c r="C197" s="1">
        <v>-17834.972843340947</v>
      </c>
    </row>
    <row r="198" spans="1:3">
      <c r="A198" s="1">
        <v>164</v>
      </c>
      <c r="B198" s="1">
        <v>709569.80730246403</v>
      </c>
      <c r="C198" s="1">
        <v>-17561.167302464019</v>
      </c>
    </row>
    <row r="199" spans="1:3">
      <c r="A199" s="1">
        <v>165</v>
      </c>
      <c r="B199" s="1">
        <v>789069.14105319069</v>
      </c>
      <c r="C199" s="1">
        <v>36728.768946809345</v>
      </c>
    </row>
    <row r="200" spans="1:3">
      <c r="A200" s="1">
        <v>166</v>
      </c>
      <c r="B200" s="1">
        <v>736488.99598209374</v>
      </c>
      <c r="C200" s="1">
        <v>-30203.475982093718</v>
      </c>
    </row>
    <row r="201" spans="1:3">
      <c r="A201" s="1">
        <v>167</v>
      </c>
      <c r="B201" s="1">
        <v>678983.67829639686</v>
      </c>
      <c r="C201" s="1">
        <v>-13448.978296396905</v>
      </c>
    </row>
    <row r="202" spans="1:3">
      <c r="A202" s="1">
        <v>168</v>
      </c>
      <c r="B202" s="1">
        <v>818203.68021898321</v>
      </c>
      <c r="C202" s="1">
        <v>2525.6097810168285</v>
      </c>
    </row>
    <row r="203" spans="1:3">
      <c r="A203" s="1">
        <v>169</v>
      </c>
      <c r="B203" s="1">
        <v>765120.66572000924</v>
      </c>
      <c r="C203" s="1">
        <v>-25288.935720009264</v>
      </c>
    </row>
    <row r="204" spans="1:3">
      <c r="A204" s="1">
        <v>170</v>
      </c>
      <c r="B204" s="1">
        <v>662947.82791639445</v>
      </c>
      <c r="C204" s="1">
        <v>-69310.68791639444</v>
      </c>
    </row>
    <row r="205" spans="1:3">
      <c r="A205" s="1">
        <v>171</v>
      </c>
      <c r="B205" s="1">
        <v>729020.48632652638</v>
      </c>
      <c r="C205" s="1">
        <v>40682.273673473625</v>
      </c>
    </row>
    <row r="206" spans="1:3">
      <c r="A206" s="1">
        <v>172</v>
      </c>
      <c r="B206" s="1">
        <v>678809.03532588645</v>
      </c>
      <c r="C206" s="1">
        <v>922.53467411349993</v>
      </c>
    </row>
    <row r="207" spans="1:3">
      <c r="A207" s="1">
        <v>173</v>
      </c>
      <c r="B207" s="1">
        <v>746663.0092446215</v>
      </c>
      <c r="C207" s="1">
        <v>33681.170755378553</v>
      </c>
    </row>
    <row r="208" spans="1:3">
      <c r="A208" s="1">
        <v>174</v>
      </c>
      <c r="B208" s="1">
        <v>729147.97496106999</v>
      </c>
      <c r="C208" s="1">
        <v>-7783.8649610700086</v>
      </c>
    </row>
    <row r="209" spans="1:3">
      <c r="A209" s="1">
        <v>175</v>
      </c>
      <c r="B209" s="1">
        <v>760933.52527164179</v>
      </c>
      <c r="C209" s="1">
        <v>-2795.2352716417518</v>
      </c>
    </row>
    <row r="210" spans="1:3">
      <c r="A210" s="1">
        <v>176</v>
      </c>
      <c r="B210" s="1">
        <v>796204.39398974832</v>
      </c>
      <c r="C210" s="1">
        <v>8059.6060102516785</v>
      </c>
    </row>
    <row r="211" spans="1:3">
      <c r="A211" s="1">
        <v>177</v>
      </c>
      <c r="B211" s="1">
        <v>889520.20650743553</v>
      </c>
      <c r="C211" s="1">
        <v>-1982.4565074355341</v>
      </c>
    </row>
    <row r="212" spans="1:3">
      <c r="A212" s="1">
        <v>178</v>
      </c>
      <c r="B212" s="1">
        <v>733949.47668665601</v>
      </c>
      <c r="C212" s="1">
        <v>49632.523313343991</v>
      </c>
    </row>
    <row r="213" spans="1:3">
      <c r="A213" s="1">
        <v>179</v>
      </c>
      <c r="B213" s="1">
        <v>774128.54733153828</v>
      </c>
      <c r="C213" s="1">
        <v>7826.9726684617344</v>
      </c>
    </row>
    <row r="214" spans="1:3">
      <c r="A214" s="1">
        <v>180</v>
      </c>
      <c r="B214" s="1">
        <v>864029.47611660068</v>
      </c>
      <c r="C214" s="1">
        <v>34001.563883399358</v>
      </c>
    </row>
    <row r="215" spans="1:3">
      <c r="A215" s="1">
        <v>181</v>
      </c>
      <c r="B215" s="1">
        <v>850991.1151099361</v>
      </c>
      <c r="C215" s="1">
        <v>4350.1648900639266</v>
      </c>
    </row>
    <row r="216" spans="1:3">
      <c r="A216" s="1">
        <v>182</v>
      </c>
      <c r="B216" s="1">
        <v>740085.25142089662</v>
      </c>
      <c r="C216" s="1">
        <v>11308.628579103388</v>
      </c>
    </row>
    <row r="217" spans="1:3">
      <c r="A217" s="1">
        <v>183</v>
      </c>
      <c r="B217" s="1">
        <v>754478.6327615811</v>
      </c>
      <c r="C217" s="1">
        <v>6598.4472384188557</v>
      </c>
    </row>
    <row r="218" spans="1:3">
      <c r="A218" s="1">
        <v>184</v>
      </c>
      <c r="B218" s="1">
        <v>812389.1481249372</v>
      </c>
      <c r="C218" s="1">
        <v>7271.4418750627665</v>
      </c>
    </row>
    <row r="219" spans="1:3">
      <c r="A219" s="1">
        <v>185</v>
      </c>
      <c r="B219" s="1">
        <v>705342.18772421184</v>
      </c>
      <c r="C219" s="1">
        <v>-23486.627724211779</v>
      </c>
    </row>
    <row r="220" spans="1:3">
      <c r="A220" s="1">
        <v>186</v>
      </c>
      <c r="B220" s="1">
        <v>660628.07721998729</v>
      </c>
      <c r="C220" s="1">
        <v>17683.092780012754</v>
      </c>
    </row>
    <row r="221" spans="1:3">
      <c r="A221" s="1">
        <v>187</v>
      </c>
      <c r="B221" s="1">
        <v>706115.34079993167</v>
      </c>
      <c r="C221" s="1">
        <v>59791.609200068284</v>
      </c>
    </row>
    <row r="222" spans="1:3">
      <c r="A222" s="1">
        <v>188</v>
      </c>
      <c r="B222" s="1">
        <v>709039.28718966641</v>
      </c>
      <c r="C222" s="1">
        <v>3507.09281033359</v>
      </c>
    </row>
    <row r="223" spans="1:3">
      <c r="A223" s="1">
        <v>189</v>
      </c>
      <c r="B223" s="1">
        <v>588447.0115448595</v>
      </c>
      <c r="C223" s="1">
        <v>37546.818455140456</v>
      </c>
    </row>
    <row r="224" spans="1:3">
      <c r="A224" s="1">
        <v>190</v>
      </c>
      <c r="B224" s="1">
        <v>536806.18570941314</v>
      </c>
      <c r="C224" s="1">
        <v>14156.74429058691</v>
      </c>
    </row>
    <row r="225" spans="1:3">
      <c r="A225" s="1">
        <v>191</v>
      </c>
      <c r="B225" s="1">
        <v>448797.29105016083</v>
      </c>
      <c r="C225" s="1">
        <v>-5521.701050160802</v>
      </c>
    </row>
    <row r="226" spans="1:3">
      <c r="A226" s="1">
        <v>192</v>
      </c>
      <c r="B226" s="1">
        <v>602080.09695834201</v>
      </c>
      <c r="C226" s="1">
        <v>-48068.02695834206</v>
      </c>
    </row>
    <row r="227" spans="1:3">
      <c r="A227" s="1">
        <v>193</v>
      </c>
      <c r="B227" s="1">
        <v>676275.0187420944</v>
      </c>
      <c r="C227" s="1">
        <v>-32846.168742094422</v>
      </c>
    </row>
    <row r="228" spans="1:3">
      <c r="A228" s="1">
        <v>194</v>
      </c>
      <c r="B228" s="1">
        <v>606990.53543300985</v>
      </c>
      <c r="C228" s="1">
        <v>4933.7345669901697</v>
      </c>
    </row>
    <row r="229" spans="1:3">
      <c r="A229" s="1">
        <v>195</v>
      </c>
      <c r="B229" s="1">
        <v>551276.87757878553</v>
      </c>
      <c r="C229" s="1">
        <v>8145.1424212144921</v>
      </c>
    </row>
    <row r="230" spans="1:3">
      <c r="A230" s="1">
        <v>196</v>
      </c>
      <c r="B230" s="1">
        <v>523947.4490245647</v>
      </c>
      <c r="C230" s="1">
        <v>-74482.389024564705</v>
      </c>
    </row>
    <row r="231" spans="1:3">
      <c r="A231" s="1">
        <v>197</v>
      </c>
      <c r="B231" s="1">
        <v>633055.56719909632</v>
      </c>
      <c r="C231" s="1">
        <v>58391.862800903735</v>
      </c>
    </row>
    <row r="232" spans="1:3">
      <c r="A232" s="1">
        <v>198</v>
      </c>
      <c r="B232" s="1">
        <v>602768.46991488466</v>
      </c>
      <c r="C232" s="1">
        <v>-28701.85991488467</v>
      </c>
    </row>
    <row r="233" spans="1:3">
      <c r="A233" s="1">
        <v>199</v>
      </c>
      <c r="B233" s="1">
        <v>595676.24618425651</v>
      </c>
      <c r="C233" s="1">
        <v>-16726.406184256542</v>
      </c>
    </row>
    <row r="234" spans="1:3">
      <c r="A234" s="1">
        <v>200</v>
      </c>
      <c r="B234" s="1">
        <v>646250.58348768973</v>
      </c>
      <c r="C234" s="1">
        <v>89536.056512310286</v>
      </c>
    </row>
    <row r="235" spans="1:3">
      <c r="A235" s="1">
        <v>201</v>
      </c>
      <c r="B235" s="1">
        <v>630854.49957091035</v>
      </c>
      <c r="C235" s="1">
        <v>-31949.59957091033</v>
      </c>
    </row>
    <row r="236" spans="1:3">
      <c r="A236" s="1">
        <v>202</v>
      </c>
      <c r="B236" s="1">
        <v>713163.4125714493</v>
      </c>
      <c r="C236" s="1">
        <v>74552.097428550711</v>
      </c>
    </row>
    <row r="237" spans="1:3">
      <c r="A237" s="1">
        <v>203</v>
      </c>
      <c r="B237" s="1">
        <v>677704.29642391554</v>
      </c>
      <c r="C237" s="1">
        <v>-70619.376423915499</v>
      </c>
    </row>
    <row r="238" spans="1:3">
      <c r="A238" s="1">
        <v>204</v>
      </c>
      <c r="B238" s="1">
        <v>688242.8556486133</v>
      </c>
      <c r="C238" s="1">
        <v>-37447.365648613311</v>
      </c>
    </row>
    <row r="239" spans="1:3">
      <c r="A239" s="1">
        <v>205</v>
      </c>
      <c r="B239" s="1">
        <v>842081.21137486817</v>
      </c>
      <c r="C239" s="1">
        <v>-17020.691374868155</v>
      </c>
    </row>
    <row r="240" spans="1:3">
      <c r="A240" s="1">
        <v>206</v>
      </c>
      <c r="B240" s="1">
        <v>739991.92711324047</v>
      </c>
      <c r="C240" s="1">
        <v>55472.542886759504</v>
      </c>
    </row>
    <row r="241" spans="1:3">
      <c r="A241" s="1">
        <v>207</v>
      </c>
      <c r="B241" s="1">
        <v>733642.60621170374</v>
      </c>
      <c r="C241" s="1">
        <v>-61774.016211703769</v>
      </c>
    </row>
    <row r="242" spans="1:3">
      <c r="A242" s="1">
        <v>208</v>
      </c>
      <c r="B242" s="1">
        <v>755169.02427966404</v>
      </c>
      <c r="C242" s="1">
        <v>-79251.394279664033</v>
      </c>
    </row>
    <row r="243" spans="1:3">
      <c r="A243" s="1">
        <v>209</v>
      </c>
      <c r="B243" s="1">
        <v>795631.59704463056</v>
      </c>
      <c r="C243" s="1">
        <v>14814.93295536947</v>
      </c>
    </row>
    <row r="244" spans="1:3">
      <c r="A244" s="1">
        <v>210</v>
      </c>
      <c r="B244" s="1">
        <v>757228.81095271243</v>
      </c>
      <c r="C244" s="1">
        <v>-65940.620952712488</v>
      </c>
    </row>
    <row r="245" spans="1:3">
      <c r="A245" s="1">
        <v>211</v>
      </c>
      <c r="B245" s="1">
        <v>959617.01890143915</v>
      </c>
      <c r="C245" s="1">
        <v>-12783.478901439114</v>
      </c>
    </row>
    <row r="246" spans="1:3">
      <c r="A246" s="1">
        <v>212</v>
      </c>
      <c r="B246" s="1">
        <v>771691.12979774154</v>
      </c>
      <c r="C246" s="1">
        <v>-9727.8997977415565</v>
      </c>
    </row>
    <row r="247" spans="1:3">
      <c r="A247" s="1">
        <v>213</v>
      </c>
      <c r="B247" s="1">
        <v>776000.49671373353</v>
      </c>
      <c r="C247" s="1">
        <v>36152.103286266443</v>
      </c>
    </row>
    <row r="248" spans="1:3">
      <c r="A248" s="1">
        <v>214</v>
      </c>
      <c r="B248" s="1">
        <v>761802.00433705526</v>
      </c>
      <c r="C248" s="1">
        <v>43173.495662944741</v>
      </c>
    </row>
    <row r="249" spans="1:3">
      <c r="A249" s="1">
        <v>215</v>
      </c>
      <c r="B249" s="1">
        <v>766497.4662894503</v>
      </c>
      <c r="C249" s="1">
        <v>-14175.746289450326</v>
      </c>
    </row>
    <row r="250" spans="1:3">
      <c r="A250" s="1">
        <v>216</v>
      </c>
      <c r="B250" s="1">
        <v>831930.62398783176</v>
      </c>
      <c r="C250" s="1">
        <v>4977.6160121682333</v>
      </c>
    </row>
    <row r="251" spans="1:3">
      <c r="A251" s="1">
        <v>217</v>
      </c>
      <c r="B251" s="1">
        <v>652544.96420357819</v>
      </c>
      <c r="C251" s="1">
        <v>21744.13579642179</v>
      </c>
    </row>
    <row r="252" spans="1:3">
      <c r="A252" s="1">
        <v>218</v>
      </c>
      <c r="B252" s="1">
        <v>634253.5962747361</v>
      </c>
      <c r="C252" s="1">
        <v>-11361.176274736063</v>
      </c>
    </row>
    <row r="253" spans="1:3">
      <c r="A253" s="1">
        <v>219</v>
      </c>
      <c r="B253" s="1">
        <v>632676.16075451695</v>
      </c>
      <c r="C253" s="1">
        <v>40672.399245483102</v>
      </c>
    </row>
    <row r="254" spans="1:3">
      <c r="A254" s="1">
        <v>220</v>
      </c>
      <c r="B254" s="1">
        <v>611751.6414625356</v>
      </c>
      <c r="C254" s="1">
        <v>-5473.3414625355508</v>
      </c>
    </row>
    <row r="255" spans="1:3">
      <c r="A255" s="1">
        <v>221</v>
      </c>
      <c r="B255" s="1">
        <v>697077.93380330631</v>
      </c>
      <c r="C255" s="1">
        <v>15141.876196693745</v>
      </c>
    </row>
    <row r="256" spans="1:3">
      <c r="A256" s="1">
        <v>222</v>
      </c>
      <c r="B256" s="1">
        <v>665531.73956262297</v>
      </c>
      <c r="C256" s="1">
        <v>7138.8004373770673</v>
      </c>
    </row>
    <row r="257" spans="1:3">
      <c r="A257" s="1">
        <v>223</v>
      </c>
      <c r="B257" s="1">
        <v>727413.42994699161</v>
      </c>
      <c r="C257" s="1">
        <v>5254.4900530084269</v>
      </c>
    </row>
    <row r="258" spans="1:3">
      <c r="A258" s="1">
        <v>224</v>
      </c>
      <c r="B258" s="1">
        <v>755436.45227792196</v>
      </c>
      <c r="C258" s="1">
        <v>-31905.052277921932</v>
      </c>
    </row>
    <row r="259" spans="1:3">
      <c r="A259" s="1">
        <v>225</v>
      </c>
      <c r="B259" s="1">
        <v>600993.45206714154</v>
      </c>
      <c r="C259" s="1">
        <v>40571.147932858439</v>
      </c>
    </row>
    <row r="260" spans="1:3">
      <c r="A260" s="1">
        <v>226</v>
      </c>
      <c r="B260" s="1">
        <v>524239.08978130127</v>
      </c>
      <c r="C260" s="1">
        <v>12306.40021869872</v>
      </c>
    </row>
    <row r="261" spans="1:3">
      <c r="A261" s="1">
        <v>227</v>
      </c>
      <c r="B261" s="1">
        <v>549158.29108170071</v>
      </c>
      <c r="C261" s="1">
        <v>-21476.731081700651</v>
      </c>
    </row>
    <row r="262" spans="1:3">
      <c r="A262" s="1">
        <v>228</v>
      </c>
      <c r="B262" s="1">
        <v>507340.14840502647</v>
      </c>
      <c r="C262" s="1">
        <v>22258.791594973474</v>
      </c>
    </row>
    <row r="263" spans="1:3">
      <c r="A263" s="1">
        <v>229</v>
      </c>
      <c r="B263" s="1">
        <v>621782.00585107692</v>
      </c>
      <c r="C263" s="1">
        <v>-50818.69585107686</v>
      </c>
    </row>
    <row r="264" spans="1:3">
      <c r="A264" s="1">
        <v>230</v>
      </c>
      <c r="B264" s="1">
        <v>813265.68222416227</v>
      </c>
      <c r="C264" s="1">
        <v>57671.717775837751</v>
      </c>
    </row>
    <row r="265" spans="1:3">
      <c r="A265" s="1">
        <v>231</v>
      </c>
      <c r="B265" s="1">
        <v>629166.53087782417</v>
      </c>
      <c r="C265" s="1">
        <v>-32197.260877824156</v>
      </c>
    </row>
    <row r="266" spans="1:3">
      <c r="A266" s="1">
        <v>232</v>
      </c>
      <c r="B266" s="1">
        <v>621377.7545486521</v>
      </c>
      <c r="C266" s="1">
        <v>26135.095451347879</v>
      </c>
    </row>
    <row r="267" spans="1:3">
      <c r="A267" s="1">
        <v>233</v>
      </c>
      <c r="B267" s="1">
        <v>611229.24402527837</v>
      </c>
      <c r="C267" s="1">
        <v>46842.895974721643</v>
      </c>
    </row>
    <row r="268" spans="1:3">
      <c r="A268" s="1">
        <v>234</v>
      </c>
      <c r="B268" s="1">
        <v>639478.49670539564</v>
      </c>
      <c r="C268" s="1">
        <v>83826.613294604351</v>
      </c>
    </row>
    <row r="269" spans="1:3">
      <c r="A269" s="1">
        <v>235</v>
      </c>
      <c r="B269" s="1">
        <v>632303.72400430369</v>
      </c>
      <c r="C269" s="1">
        <v>8362.8059956963407</v>
      </c>
    </row>
    <row r="270" spans="1:3">
      <c r="A270" s="1">
        <v>236</v>
      </c>
      <c r="B270" s="1">
        <v>662543.68015511683</v>
      </c>
      <c r="C270" s="1">
        <v>8085.7998448831495</v>
      </c>
    </row>
    <row r="271" spans="1:3">
      <c r="A271" s="1">
        <v>237</v>
      </c>
      <c r="B271" s="1">
        <v>803113.32115694124</v>
      </c>
      <c r="C271" s="1">
        <v>-82033.971156941261</v>
      </c>
    </row>
    <row r="272" spans="1:3">
      <c r="A272" s="1">
        <v>238</v>
      </c>
      <c r="B272" s="1">
        <v>833589.00931191852</v>
      </c>
      <c r="C272" s="1">
        <v>-23233.9893119185</v>
      </c>
    </row>
    <row r="273" spans="1:3">
      <c r="A273" s="1">
        <v>239</v>
      </c>
      <c r="B273" s="1">
        <v>775233.74948812148</v>
      </c>
      <c r="C273" s="1">
        <v>-13314.499488121481</v>
      </c>
    </row>
    <row r="274" spans="1:3">
      <c r="A274" s="1">
        <v>240</v>
      </c>
      <c r="B274" s="1">
        <v>733104.62961993448</v>
      </c>
      <c r="C274" s="1">
        <v>3965.5503800655715</v>
      </c>
    </row>
    <row r="275" spans="1:3">
      <c r="A275" s="1">
        <v>241</v>
      </c>
      <c r="B275" s="1">
        <v>751976.66432904731</v>
      </c>
      <c r="C275" s="1">
        <v>25016.265670952736</v>
      </c>
    </row>
    <row r="276" spans="1:3">
      <c r="A276" s="1">
        <v>242</v>
      </c>
      <c r="B276" s="1">
        <v>669086.22029572353</v>
      </c>
      <c r="C276" s="1">
        <v>7251.1897042765049</v>
      </c>
    </row>
    <row r="277" spans="1:3">
      <c r="A277" s="1">
        <v>243</v>
      </c>
      <c r="B277" s="1">
        <v>833413.2335389941</v>
      </c>
      <c r="C277" s="1">
        <v>-5193.563538994058</v>
      </c>
    </row>
    <row r="278" spans="1:3">
      <c r="A278" s="1">
        <v>244</v>
      </c>
      <c r="B278" s="1">
        <v>773637.88104201853</v>
      </c>
      <c r="C278" s="1">
        <v>-10477.961042018491</v>
      </c>
    </row>
    <row r="279" spans="1:3">
      <c r="A279" s="1">
        <v>245</v>
      </c>
      <c r="B279" s="1">
        <v>777139.23846243275</v>
      </c>
      <c r="C279" s="1">
        <v>24862.441537567298</v>
      </c>
    </row>
    <row r="280" spans="1:3">
      <c r="A280" s="1">
        <v>246</v>
      </c>
      <c r="B280" s="1">
        <v>738891.10298278613</v>
      </c>
      <c r="C280" s="1">
        <v>11580.237017213833</v>
      </c>
    </row>
    <row r="281" spans="1:3">
      <c r="A281" s="1">
        <v>247</v>
      </c>
      <c r="B281" s="1">
        <v>695908.99879257276</v>
      </c>
      <c r="C281" s="1">
        <v>-16678.138792572776</v>
      </c>
    </row>
    <row r="282" spans="1:3">
      <c r="A282" s="1">
        <v>248</v>
      </c>
      <c r="B282" s="1">
        <v>675939.90823707799</v>
      </c>
      <c r="C282" s="1">
        <v>3948.8317629219964</v>
      </c>
    </row>
    <row r="283" spans="1:3">
      <c r="A283" s="1">
        <v>249</v>
      </c>
      <c r="B283" s="1">
        <v>588497.89545646124</v>
      </c>
      <c r="C283" s="1">
        <v>18285.774543538806</v>
      </c>
    </row>
    <row r="284" spans="1:3">
      <c r="A284" s="1">
        <v>250</v>
      </c>
      <c r="B284" s="1">
        <v>651215.41452739318</v>
      </c>
      <c r="C284" s="1">
        <v>-8463.9945273931371</v>
      </c>
    </row>
    <row r="285" spans="1:3">
      <c r="A285" s="1">
        <v>251</v>
      </c>
      <c r="B285" s="1">
        <v>642603.18401858129</v>
      </c>
      <c r="C285" s="1">
        <v>5350.5959814187372</v>
      </c>
    </row>
    <row r="286" spans="1:3">
      <c r="A286" s="1">
        <v>252</v>
      </c>
      <c r="B286" s="1">
        <v>712064.90485992364</v>
      </c>
      <c r="C286" s="1">
        <v>17375.545140076312</v>
      </c>
    </row>
    <row r="287" spans="1:3">
      <c r="A287" s="1">
        <v>253</v>
      </c>
      <c r="B287" s="1">
        <v>784614.83956971881</v>
      </c>
      <c r="C287" s="1">
        <v>-19665.83956971881</v>
      </c>
    </row>
    <row r="288" spans="1:3">
      <c r="A288" s="1">
        <v>254</v>
      </c>
      <c r="B288" s="1">
        <v>728865.76219454315</v>
      </c>
      <c r="C288" s="1">
        <v>70181.177805456799</v>
      </c>
    </row>
    <row r="289" spans="1:3">
      <c r="A289" s="1">
        <v>255</v>
      </c>
      <c r="B289" s="1">
        <v>703060.02434174623</v>
      </c>
      <c r="C289" s="1">
        <v>17019.515658253804</v>
      </c>
    </row>
    <row r="290" spans="1:3">
      <c r="A290" s="1">
        <v>256</v>
      </c>
      <c r="B290" s="1">
        <v>671747.36039750208</v>
      </c>
      <c r="C290" s="1">
        <v>-59357.220397502067</v>
      </c>
    </row>
    <row r="291" spans="1:3">
      <c r="A291" s="1">
        <v>257</v>
      </c>
      <c r="B291" s="1">
        <v>773487.8965243753</v>
      </c>
      <c r="C291" s="1">
        <v>66620.223475624691</v>
      </c>
    </row>
    <row r="292" spans="1:3">
      <c r="A292" s="1">
        <v>258</v>
      </c>
      <c r="B292" s="1">
        <v>695338.02090639877</v>
      </c>
      <c r="C292" s="1">
        <v>2550.0690936011961</v>
      </c>
    </row>
    <row r="293" spans="1:3">
      <c r="A293" s="1">
        <v>259</v>
      </c>
      <c r="B293" s="1">
        <v>760378.45158665848</v>
      </c>
      <c r="C293" s="1">
        <v>-14262.861586658517</v>
      </c>
    </row>
    <row r="294" spans="1:3">
      <c r="A294" s="1">
        <v>260</v>
      </c>
      <c r="B294" s="1">
        <v>735769.49083743955</v>
      </c>
      <c r="C294" s="1">
        <v>40340.829162560403</v>
      </c>
    </row>
    <row r="295" spans="1:3">
      <c r="A295" s="1">
        <v>261</v>
      </c>
      <c r="B295" s="1">
        <v>529276.68765278789</v>
      </c>
      <c r="C295" s="1">
        <v>-424.0676527878968</v>
      </c>
    </row>
    <row r="296" spans="1:3">
      <c r="A296" s="1">
        <v>262</v>
      </c>
      <c r="B296" s="1">
        <v>612276.68983026012</v>
      </c>
      <c r="C296" s="1">
        <v>-6525.3598302601604</v>
      </c>
    </row>
    <row r="297" spans="1:3">
      <c r="A297" s="1">
        <v>263</v>
      </c>
      <c r="B297" s="1">
        <v>619109.2001061145</v>
      </c>
      <c r="C297" s="1">
        <v>58531.449893885525</v>
      </c>
    </row>
    <row r="298" spans="1:3">
      <c r="A298" s="1">
        <v>264</v>
      </c>
      <c r="B298" s="1">
        <v>615419.3823933102</v>
      </c>
      <c r="C298" s="1">
        <v>21193.847606689786</v>
      </c>
    </row>
    <row r="299" spans="1:3">
      <c r="A299" s="1">
        <v>265</v>
      </c>
      <c r="B299" s="1">
        <v>718857.06268751423</v>
      </c>
      <c r="C299" s="1">
        <v>-9871.8726875142893</v>
      </c>
    </row>
    <row r="300" spans="1:3">
      <c r="A300" s="1">
        <v>266</v>
      </c>
      <c r="B300" s="1">
        <v>729143.65657735616</v>
      </c>
      <c r="C300" s="1">
        <v>38649.283422643784</v>
      </c>
    </row>
    <row r="301" spans="1:3">
      <c r="A301" s="1">
        <v>267</v>
      </c>
      <c r="B301" s="1">
        <v>714656.60883097677</v>
      </c>
      <c r="C301" s="1">
        <v>30923.901169023244</v>
      </c>
    </row>
    <row r="302" spans="1:3">
      <c r="A302" s="1">
        <v>268</v>
      </c>
      <c r="B302" s="1">
        <v>720895.98949350137</v>
      </c>
      <c r="C302" s="1">
        <v>41432.320506498683</v>
      </c>
    </row>
    <row r="303" spans="1:3">
      <c r="A303" s="1">
        <v>269</v>
      </c>
      <c r="B303" s="1">
        <v>740442.32861078798</v>
      </c>
      <c r="C303" s="1">
        <v>-79808.338610787992</v>
      </c>
    </row>
    <row r="304" spans="1:3">
      <c r="A304" s="1">
        <v>270</v>
      </c>
      <c r="B304" s="1">
        <v>688897.62741235469</v>
      </c>
      <c r="C304" s="1">
        <v>50476.932587645366</v>
      </c>
    </row>
    <row r="305" spans="1:3">
      <c r="A305" s="1">
        <v>271</v>
      </c>
      <c r="B305" s="1">
        <v>805696.19266490731</v>
      </c>
      <c r="C305" s="1">
        <v>-5939.7326649073511</v>
      </c>
    </row>
    <row r="306" spans="1:3">
      <c r="A306" s="1">
        <v>272</v>
      </c>
      <c r="B306" s="1">
        <v>664771.35063497303</v>
      </c>
      <c r="C306" s="1">
        <v>-71428.350634973031</v>
      </c>
    </row>
    <row r="307" spans="1:3">
      <c r="A307" s="1">
        <v>273</v>
      </c>
      <c r="B307" s="1">
        <v>639818.71254444832</v>
      </c>
      <c r="C307" s="1">
        <v>5221.2574555516476</v>
      </c>
    </row>
    <row r="308" spans="1:3">
      <c r="A308" s="1">
        <v>274</v>
      </c>
      <c r="B308" s="1">
        <v>520069.18411531707</v>
      </c>
      <c r="C308" s="1">
        <v>41528.14588468289</v>
      </c>
    </row>
    <row r="309" spans="1:3">
      <c r="A309" s="1">
        <v>275</v>
      </c>
      <c r="B309" s="1">
        <v>644834.97839425516</v>
      </c>
      <c r="C309" s="1">
        <v>-8997.2383942551678</v>
      </c>
    </row>
    <row r="310" spans="1:3">
      <c r="A310" s="1">
        <v>276</v>
      </c>
      <c r="B310" s="1">
        <v>595069.29774294712</v>
      </c>
      <c r="C310" s="1">
        <v>91668.572257052874</v>
      </c>
    </row>
    <row r="311" spans="1:3">
      <c r="A311" s="1">
        <v>277</v>
      </c>
      <c r="B311" s="1">
        <v>736755.72358230525</v>
      </c>
      <c r="C311" s="1">
        <v>-63679.38358230528</v>
      </c>
    </row>
    <row r="312" spans="1:3">
      <c r="A312" s="1">
        <v>278</v>
      </c>
      <c r="B312" s="1">
        <v>705648.4387526291</v>
      </c>
      <c r="C312" s="1">
        <v>32899.981247370946</v>
      </c>
    </row>
    <row r="313" spans="1:3">
      <c r="A313" s="1">
        <v>279</v>
      </c>
      <c r="B313" s="1">
        <v>747069.57972494699</v>
      </c>
      <c r="C313" s="1">
        <v>9550.190275053028</v>
      </c>
    </row>
    <row r="314" spans="1:3">
      <c r="A314" s="1">
        <v>280</v>
      </c>
      <c r="B314" s="1">
        <v>774120.27989345929</v>
      </c>
      <c r="C314" s="1">
        <v>-12997.859893459245</v>
      </c>
    </row>
    <row r="315" spans="1:3">
      <c r="A315" s="1">
        <v>281</v>
      </c>
      <c r="B315" s="1">
        <v>576391.6667239815</v>
      </c>
      <c r="C315" s="1">
        <v>-51492.096723981551</v>
      </c>
    </row>
    <row r="316" spans="1:3">
      <c r="A316" s="1">
        <v>282</v>
      </c>
      <c r="B316" s="1">
        <v>592553.68076245754</v>
      </c>
      <c r="C316" s="1">
        <v>-36995.910762457526</v>
      </c>
    </row>
    <row r="317" spans="1:3">
      <c r="A317" s="1">
        <v>283</v>
      </c>
      <c r="B317" s="1">
        <v>700272.07107714796</v>
      </c>
      <c r="C317" s="1">
        <v>13811.608922852087</v>
      </c>
    </row>
    <row r="318" spans="1:3">
      <c r="A318" s="1">
        <v>284</v>
      </c>
      <c r="B318" s="1">
        <v>506439.25427534583</v>
      </c>
      <c r="C318" s="1">
        <v>-8999.4342753458186</v>
      </c>
    </row>
    <row r="319" spans="1:3">
      <c r="A319" s="1">
        <v>285</v>
      </c>
      <c r="B319" s="1">
        <v>649338.63955374714</v>
      </c>
      <c r="C319" s="1">
        <v>-12562.979553747107</v>
      </c>
    </row>
    <row r="320" spans="1:3">
      <c r="A320" s="1">
        <v>286</v>
      </c>
      <c r="B320" s="1">
        <v>636332.91192945337</v>
      </c>
      <c r="C320" s="1">
        <v>-3323.3819294533459</v>
      </c>
    </row>
    <row r="321" spans="1:3">
      <c r="A321" s="1">
        <v>287</v>
      </c>
      <c r="B321" s="1">
        <v>601043.42098500114</v>
      </c>
      <c r="C321" s="1">
        <v>8905.5790149988607</v>
      </c>
    </row>
    <row r="322" spans="1:3">
      <c r="A322" s="1">
        <v>288</v>
      </c>
      <c r="B322" s="1">
        <v>561127.44575974345</v>
      </c>
      <c r="C322" s="1">
        <v>-13023.745759743499</v>
      </c>
    </row>
    <row r="323" spans="1:3">
      <c r="A323" s="1">
        <v>289</v>
      </c>
      <c r="B323" s="1">
        <v>679236.16968559846</v>
      </c>
      <c r="C323" s="1">
        <v>50188.250314401579</v>
      </c>
    </row>
    <row r="324" spans="1:3">
      <c r="A324" s="1">
        <v>290</v>
      </c>
      <c r="B324" s="1">
        <v>706345.28895915439</v>
      </c>
      <c r="C324" s="1">
        <v>-10083.798959154403</v>
      </c>
    </row>
    <row r="325" spans="1:3">
      <c r="A325" s="1">
        <v>291</v>
      </c>
      <c r="B325" s="1">
        <v>707124.00365626847</v>
      </c>
      <c r="C325" s="1">
        <v>106192.70634373149</v>
      </c>
    </row>
    <row r="326" spans="1:3">
      <c r="A326" s="1">
        <v>292</v>
      </c>
      <c r="B326" s="1">
        <v>702729.43106072233</v>
      </c>
      <c r="C326" s="1">
        <v>-660.51106072228868</v>
      </c>
    </row>
    <row r="327" spans="1:3">
      <c r="A327" s="1">
        <v>293</v>
      </c>
      <c r="B327" s="1">
        <v>596065.87676525314</v>
      </c>
      <c r="C327" s="1">
        <v>-49842.176765253185</v>
      </c>
    </row>
    <row r="328" spans="1:3">
      <c r="A328" s="1">
        <v>294</v>
      </c>
      <c r="B328" s="1">
        <v>532484.24335117871</v>
      </c>
      <c r="C328" s="1">
        <v>637.0166488212999</v>
      </c>
    </row>
    <row r="329" spans="1:3">
      <c r="A329" s="1">
        <v>295</v>
      </c>
      <c r="B329" s="1">
        <v>508565.08254669828</v>
      </c>
      <c r="C329" s="1">
        <v>-9594.7625466982718</v>
      </c>
    </row>
    <row r="330" spans="1:3">
      <c r="A330" s="1">
        <v>296</v>
      </c>
      <c r="B330" s="1">
        <v>475576.39352685463</v>
      </c>
      <c r="C330" s="1">
        <v>12161.866473145375</v>
      </c>
    </row>
    <row r="331" spans="1:3">
      <c r="A331" s="1">
        <v>297</v>
      </c>
      <c r="B331" s="1">
        <v>676185.11852643604</v>
      </c>
      <c r="C331" s="1">
        <v>-7725.7485264360439</v>
      </c>
    </row>
    <row r="332" spans="1:3">
      <c r="A332" s="1">
        <v>298</v>
      </c>
      <c r="B332" s="1">
        <v>682564.21222606173</v>
      </c>
      <c r="C332" s="1">
        <v>80598.237773938221</v>
      </c>
    </row>
    <row r="333" spans="1:3">
      <c r="A333" s="1">
        <v>299</v>
      </c>
      <c r="B333" s="1">
        <v>620455.00810115726</v>
      </c>
      <c r="C333" s="1">
        <v>-21437.678101157304</v>
      </c>
    </row>
    <row r="334" spans="1:3">
      <c r="A334" s="1">
        <v>300</v>
      </c>
      <c r="B334" s="1">
        <v>471454.00512183632</v>
      </c>
      <c r="C334" s="1">
        <v>-69871.425121836306</v>
      </c>
    </row>
    <row r="335" spans="1:3">
      <c r="A335" s="1">
        <v>301</v>
      </c>
      <c r="B335" s="1">
        <v>728768.186922614</v>
      </c>
      <c r="C335" s="1">
        <v>-24955.196922614006</v>
      </c>
    </row>
    <row r="336" spans="1:3">
      <c r="A336" s="1">
        <v>302</v>
      </c>
      <c r="B336" s="1">
        <v>730768.34942396719</v>
      </c>
      <c r="C336" s="1">
        <v>-6421.6194239672041</v>
      </c>
    </row>
    <row r="337" spans="1:3">
      <c r="A337" s="1">
        <v>303</v>
      </c>
      <c r="B337" s="1">
        <v>749524.5362724252</v>
      </c>
      <c r="C337" s="1">
        <v>-18634.526272425195</v>
      </c>
    </row>
    <row r="338" spans="1:3">
      <c r="A338" s="1">
        <v>304</v>
      </c>
      <c r="B338" s="1">
        <v>729197.59532874997</v>
      </c>
      <c r="C338" s="1">
        <v>51383.354671249981</v>
      </c>
    </row>
    <row r="339" spans="1:3">
      <c r="A339" s="1">
        <v>305</v>
      </c>
      <c r="B339" s="1">
        <v>686551.02810927306</v>
      </c>
      <c r="C339" s="1">
        <v>41406.451890726923</v>
      </c>
    </row>
    <row r="340" spans="1:3">
      <c r="A340" s="1">
        <v>306</v>
      </c>
      <c r="B340" s="1">
        <v>631856.75494108687</v>
      </c>
      <c r="C340" s="1">
        <v>-93480.754941086867</v>
      </c>
    </row>
    <row r="341" spans="1:3">
      <c r="A341" s="1">
        <v>307</v>
      </c>
      <c r="B341" s="1">
        <v>611353.67567989789</v>
      </c>
      <c r="C341" s="1">
        <v>53988.814320102101</v>
      </c>
    </row>
    <row r="342" spans="1:3">
      <c r="A342" s="1">
        <v>308</v>
      </c>
      <c r="B342" s="1">
        <v>700510.76881133334</v>
      </c>
      <c r="C342" s="1">
        <v>-49346.588811333291</v>
      </c>
    </row>
    <row r="343" spans="1:3">
      <c r="A343" s="1">
        <v>309</v>
      </c>
      <c r="B343" s="1">
        <v>650820.39710137527</v>
      </c>
      <c r="C343" s="1">
        <v>-22282.097101375228</v>
      </c>
    </row>
    <row r="344" spans="1:3">
      <c r="A344" s="1">
        <v>310</v>
      </c>
      <c r="B344" s="1">
        <v>585040.44812150206</v>
      </c>
      <c r="C344" s="1">
        <v>-48515.608121502097</v>
      </c>
    </row>
    <row r="345" spans="1:3">
      <c r="A345" s="1">
        <v>311</v>
      </c>
      <c r="B345" s="1">
        <v>642005.47017877502</v>
      </c>
      <c r="C345" s="1">
        <v>-20328.170178774977</v>
      </c>
    </row>
    <row r="346" spans="1:3">
      <c r="A346" s="1">
        <v>312</v>
      </c>
      <c r="B346" s="1">
        <v>758356.10382611386</v>
      </c>
      <c r="C346" s="1">
        <v>12772.966173886089</v>
      </c>
    </row>
    <row r="347" spans="1:3">
      <c r="A347" s="1">
        <v>313</v>
      </c>
      <c r="B347" s="1">
        <v>662559.77935205866</v>
      </c>
      <c r="C347" s="1">
        <v>39492.690647941316</v>
      </c>
    </row>
    <row r="348" spans="1:3">
      <c r="A348" s="1">
        <v>314</v>
      </c>
      <c r="B348" s="1">
        <v>712985.50639617094</v>
      </c>
      <c r="C348" s="1">
        <v>-24617.046396170976</v>
      </c>
    </row>
    <row r="349" spans="1:3">
      <c r="A349" s="1">
        <v>315</v>
      </c>
      <c r="B349" s="1">
        <v>678930.23261645355</v>
      </c>
      <c r="C349" s="1">
        <v>33445.537383546471</v>
      </c>
    </row>
    <row r="350" spans="1:3">
      <c r="A350" s="1">
        <v>316</v>
      </c>
      <c r="B350" s="1">
        <v>811347.07553234848</v>
      </c>
      <c r="C350" s="1">
        <v>33363.594467651565</v>
      </c>
    </row>
    <row r="351" spans="1:3">
      <c r="A351" s="1">
        <v>317</v>
      </c>
      <c r="B351" s="1">
        <v>659053.62411911029</v>
      </c>
      <c r="C351" s="1">
        <v>-38789.424119110336</v>
      </c>
    </row>
    <row r="352" spans="1:3">
      <c r="A352" s="1">
        <v>318</v>
      </c>
      <c r="B352" s="1">
        <v>512653.88673460146</v>
      </c>
      <c r="C352" s="1">
        <v>24191.533265398582</v>
      </c>
    </row>
    <row r="353" spans="1:3">
      <c r="A353" s="1">
        <v>319</v>
      </c>
      <c r="B353" s="1">
        <v>715755.91645526979</v>
      </c>
      <c r="C353" s="1">
        <v>11020.303544730181</v>
      </c>
    </row>
    <row r="354" spans="1:3" ht="14.4" thickBot="1">
      <c r="A354" s="5">
        <v>320</v>
      </c>
      <c r="B354" s="5">
        <v>580773.43966900033</v>
      </c>
      <c r="C354" s="5">
        <v>-21112.599669000367</v>
      </c>
    </row>
  </sheetData>
  <mergeCells count="1">
    <mergeCell ref="A1:H2"/>
  </mergeCells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4C57-EEC4-2641-B7F2-1EBF46ECC07E}">
  <dimension ref="A1:H321"/>
  <sheetViews>
    <sheetView workbookViewId="0">
      <selection activeCell="C1" sqref="C1:H1"/>
    </sheetView>
  </sheetViews>
  <sheetFormatPr defaultColWidth="11.19921875" defaultRowHeight="13.8"/>
  <cols>
    <col min="6" max="6" width="13.69921875" bestFit="1" customWidth="1"/>
    <col min="7" max="7" width="13.796875" bestFit="1" customWidth="1"/>
    <col min="8" max="8" width="11.19921875" bestFit="1" customWidth="1"/>
  </cols>
  <sheetData>
    <row r="1" spans="1:8">
      <c r="A1" t="s">
        <v>0</v>
      </c>
      <c r="B1" t="s">
        <v>1</v>
      </c>
      <c r="C1" t="s">
        <v>145</v>
      </c>
      <c r="D1" t="s">
        <v>144</v>
      </c>
      <c r="E1" t="s">
        <v>149</v>
      </c>
      <c r="F1" t="s">
        <v>146</v>
      </c>
      <c r="G1" t="s">
        <v>147</v>
      </c>
      <c r="H1" t="s">
        <v>148</v>
      </c>
    </row>
    <row r="2" spans="1:8">
      <c r="A2" t="str">
        <f>'Cleaned Data'!A2</f>
        <v>STR-1001</v>
      </c>
      <c r="B2" s="3">
        <f>'Cleaned Data'!B2</f>
        <v>45658</v>
      </c>
      <c r="C2">
        <f>IF('Cleaned Data'!C2="West", 1, 0)</f>
        <v>0</v>
      </c>
      <c r="D2">
        <f>IF('Cleaned Data'!C2="North", 1, 0)</f>
        <v>0</v>
      </c>
      <c r="E2">
        <f>IF('Cleaned Data'!C2="South", 1, 0)</f>
        <v>0</v>
      </c>
      <c r="F2">
        <f>IF('Cleaned Data'!D2="High Street", 1, 0)</f>
        <v>0</v>
      </c>
      <c r="G2">
        <f>IF('Cleaned Data'!D2="Residential", 1, 0)</f>
        <v>1</v>
      </c>
      <c r="H2">
        <f>IF('Cleaned Data'!D2="Airport", 1, 0)</f>
        <v>0</v>
      </c>
    </row>
    <row r="3" spans="1:8">
      <c r="A3" t="str">
        <f>'Cleaned Data'!A3</f>
        <v>STR-1001</v>
      </c>
      <c r="B3" s="3">
        <f>'Cleaned Data'!B3</f>
        <v>45689</v>
      </c>
      <c r="C3">
        <f>IF('Cleaned Data'!C3="West", 1, 0)</f>
        <v>0</v>
      </c>
      <c r="D3">
        <f>IF('Cleaned Data'!C3="North", 1, 0)</f>
        <v>0</v>
      </c>
      <c r="E3">
        <f>IF('Cleaned Data'!C3="South", 1, 0)</f>
        <v>0</v>
      </c>
      <c r="F3">
        <f>IF('Cleaned Data'!D3="High Street", 1, 0)</f>
        <v>0</v>
      </c>
      <c r="G3">
        <f>IF('Cleaned Data'!D3="Residential", 1, 0)</f>
        <v>1</v>
      </c>
      <c r="H3">
        <f>IF('Cleaned Data'!D3="Airport", 1, 0)</f>
        <v>0</v>
      </c>
    </row>
    <row r="4" spans="1:8">
      <c r="A4" t="str">
        <f>'Cleaned Data'!A4</f>
        <v>STR-1001</v>
      </c>
      <c r="B4" s="3">
        <f>'Cleaned Data'!B4</f>
        <v>45717</v>
      </c>
      <c r="C4">
        <f>IF('Cleaned Data'!C4="West", 1, 0)</f>
        <v>0</v>
      </c>
      <c r="D4">
        <f>IF('Cleaned Data'!C4="North", 1, 0)</f>
        <v>0</v>
      </c>
      <c r="E4">
        <f>IF('Cleaned Data'!C4="South", 1, 0)</f>
        <v>0</v>
      </c>
      <c r="F4">
        <f>IF('Cleaned Data'!D4="High Street", 1, 0)</f>
        <v>0</v>
      </c>
      <c r="G4">
        <f>IF('Cleaned Data'!D4="Residential", 1, 0)</f>
        <v>1</v>
      </c>
      <c r="H4">
        <f>IF('Cleaned Data'!D4="Airport", 1, 0)</f>
        <v>0</v>
      </c>
    </row>
    <row r="5" spans="1:8">
      <c r="A5" t="str">
        <f>'Cleaned Data'!A5</f>
        <v>STR-1001</v>
      </c>
      <c r="B5" s="3">
        <f>'Cleaned Data'!B5</f>
        <v>45748</v>
      </c>
      <c r="C5">
        <f>IF('Cleaned Data'!C5="West", 1, 0)</f>
        <v>0</v>
      </c>
      <c r="D5">
        <f>IF('Cleaned Data'!C5="North", 1, 0)</f>
        <v>0</v>
      </c>
      <c r="E5">
        <f>IF('Cleaned Data'!C5="South", 1, 0)</f>
        <v>0</v>
      </c>
      <c r="F5">
        <f>IF('Cleaned Data'!D5="High Street", 1, 0)</f>
        <v>0</v>
      </c>
      <c r="G5">
        <f>IF('Cleaned Data'!D5="Residential", 1, 0)</f>
        <v>1</v>
      </c>
      <c r="H5">
        <f>IF('Cleaned Data'!D5="Airport", 1, 0)</f>
        <v>0</v>
      </c>
    </row>
    <row r="6" spans="1:8">
      <c r="A6" t="str">
        <f>'Cleaned Data'!A6</f>
        <v>STR-1002</v>
      </c>
      <c r="B6" s="3">
        <f>'Cleaned Data'!B6</f>
        <v>45658</v>
      </c>
      <c r="C6">
        <f>IF('Cleaned Data'!C6="West", 1, 0)</f>
        <v>0</v>
      </c>
      <c r="D6">
        <f>IF('Cleaned Data'!C6="North", 1, 0)</f>
        <v>0</v>
      </c>
      <c r="E6">
        <f>IF('Cleaned Data'!C6="South", 1, 0)</f>
        <v>0</v>
      </c>
      <c r="F6">
        <f>IF('Cleaned Data'!D6="High Street", 1, 0)</f>
        <v>1</v>
      </c>
      <c r="G6">
        <f>IF('Cleaned Data'!D6="Residential", 1, 0)</f>
        <v>0</v>
      </c>
      <c r="H6">
        <f>IF('Cleaned Data'!D6="Airport", 1, 0)</f>
        <v>0</v>
      </c>
    </row>
    <row r="7" spans="1:8">
      <c r="A7" t="str">
        <f>'Cleaned Data'!A7</f>
        <v>STR-1002</v>
      </c>
      <c r="B7" s="3">
        <f>'Cleaned Data'!B7</f>
        <v>45689</v>
      </c>
      <c r="C7">
        <f>IF('Cleaned Data'!C7="West", 1, 0)</f>
        <v>0</v>
      </c>
      <c r="D7">
        <f>IF('Cleaned Data'!C7="North", 1, 0)</f>
        <v>0</v>
      </c>
      <c r="E7">
        <f>IF('Cleaned Data'!C7="South", 1, 0)</f>
        <v>0</v>
      </c>
      <c r="F7">
        <f>IF('Cleaned Data'!D7="High Street", 1, 0)</f>
        <v>1</v>
      </c>
      <c r="G7">
        <f>IF('Cleaned Data'!D7="Residential", 1, 0)</f>
        <v>0</v>
      </c>
      <c r="H7">
        <f>IF('Cleaned Data'!D7="Airport", 1, 0)</f>
        <v>0</v>
      </c>
    </row>
    <row r="8" spans="1:8">
      <c r="A8" t="str">
        <f>'Cleaned Data'!A8</f>
        <v>STR-1002</v>
      </c>
      <c r="B8" s="3">
        <f>'Cleaned Data'!B8</f>
        <v>45717</v>
      </c>
      <c r="C8">
        <f>IF('Cleaned Data'!C8="West", 1, 0)</f>
        <v>0</v>
      </c>
      <c r="D8">
        <f>IF('Cleaned Data'!C8="North", 1, 0)</f>
        <v>0</v>
      </c>
      <c r="E8">
        <f>IF('Cleaned Data'!C8="South", 1, 0)</f>
        <v>0</v>
      </c>
      <c r="F8">
        <f>IF('Cleaned Data'!D8="High Street", 1, 0)</f>
        <v>1</v>
      </c>
      <c r="G8">
        <f>IF('Cleaned Data'!D8="Residential", 1, 0)</f>
        <v>0</v>
      </c>
      <c r="H8">
        <f>IF('Cleaned Data'!D8="Airport", 1, 0)</f>
        <v>0</v>
      </c>
    </row>
    <row r="9" spans="1:8">
      <c r="A9" t="str">
        <f>'Cleaned Data'!A9</f>
        <v>STR-1002</v>
      </c>
      <c r="B9" s="3">
        <f>'Cleaned Data'!B9</f>
        <v>45748</v>
      </c>
      <c r="C9">
        <f>IF('Cleaned Data'!C9="West", 1, 0)</f>
        <v>0</v>
      </c>
      <c r="D9">
        <f>IF('Cleaned Data'!C9="North", 1, 0)</f>
        <v>0</v>
      </c>
      <c r="E9">
        <f>IF('Cleaned Data'!C9="South", 1, 0)</f>
        <v>0</v>
      </c>
      <c r="F9">
        <f>IF('Cleaned Data'!D9="High Street", 1, 0)</f>
        <v>1</v>
      </c>
      <c r="G9">
        <f>IF('Cleaned Data'!D9="Residential", 1, 0)</f>
        <v>0</v>
      </c>
      <c r="H9">
        <f>IF('Cleaned Data'!D9="Airport", 1, 0)</f>
        <v>0</v>
      </c>
    </row>
    <row r="10" spans="1:8">
      <c r="A10" t="str">
        <f>'Cleaned Data'!A10</f>
        <v>STR-1003</v>
      </c>
      <c r="B10" s="3">
        <f>'Cleaned Data'!B10</f>
        <v>45658</v>
      </c>
      <c r="C10">
        <f>IF('Cleaned Data'!C10="West", 1, 0)</f>
        <v>0</v>
      </c>
      <c r="D10">
        <f>IF('Cleaned Data'!C10="North", 1, 0)</f>
        <v>1</v>
      </c>
      <c r="E10">
        <f>IF('Cleaned Data'!C10="South", 1, 0)</f>
        <v>0</v>
      </c>
      <c r="F10">
        <f>IF('Cleaned Data'!D10="High Street", 1, 0)</f>
        <v>0</v>
      </c>
      <c r="G10">
        <f>IF('Cleaned Data'!D10="Residential", 1, 0)</f>
        <v>0</v>
      </c>
      <c r="H10">
        <f>IF('Cleaned Data'!D10="Airport", 1, 0)</f>
        <v>1</v>
      </c>
    </row>
    <row r="11" spans="1:8">
      <c r="A11" t="str">
        <f>'Cleaned Data'!A11</f>
        <v>STR-1003</v>
      </c>
      <c r="B11" s="3">
        <f>'Cleaned Data'!B11</f>
        <v>45689</v>
      </c>
      <c r="C11">
        <f>IF('Cleaned Data'!C11="West", 1, 0)</f>
        <v>0</v>
      </c>
      <c r="D11">
        <f>IF('Cleaned Data'!C11="North", 1, 0)</f>
        <v>1</v>
      </c>
      <c r="E11">
        <f>IF('Cleaned Data'!C11="South", 1, 0)</f>
        <v>0</v>
      </c>
      <c r="F11">
        <f>IF('Cleaned Data'!D11="High Street", 1, 0)</f>
        <v>0</v>
      </c>
      <c r="G11">
        <f>IF('Cleaned Data'!D11="Residential", 1, 0)</f>
        <v>0</v>
      </c>
      <c r="H11">
        <f>IF('Cleaned Data'!D11="Airport", 1, 0)</f>
        <v>1</v>
      </c>
    </row>
    <row r="12" spans="1:8">
      <c r="A12" t="str">
        <f>'Cleaned Data'!A12</f>
        <v>STR-1003</v>
      </c>
      <c r="B12" s="3">
        <f>'Cleaned Data'!B12</f>
        <v>45717</v>
      </c>
      <c r="C12">
        <f>IF('Cleaned Data'!C12="West", 1, 0)</f>
        <v>0</v>
      </c>
      <c r="D12">
        <f>IF('Cleaned Data'!C12="North", 1, 0)</f>
        <v>1</v>
      </c>
      <c r="E12">
        <f>IF('Cleaned Data'!C12="South", 1, 0)</f>
        <v>0</v>
      </c>
      <c r="F12">
        <f>IF('Cleaned Data'!D12="High Street", 1, 0)</f>
        <v>0</v>
      </c>
      <c r="G12">
        <f>IF('Cleaned Data'!D12="Residential", 1, 0)</f>
        <v>0</v>
      </c>
      <c r="H12">
        <f>IF('Cleaned Data'!D12="Airport", 1, 0)</f>
        <v>1</v>
      </c>
    </row>
    <row r="13" spans="1:8">
      <c r="A13" t="str">
        <f>'Cleaned Data'!A13</f>
        <v>STR-1003</v>
      </c>
      <c r="B13" s="3">
        <f>'Cleaned Data'!B13</f>
        <v>45748</v>
      </c>
      <c r="C13">
        <f>IF('Cleaned Data'!C13="West", 1, 0)</f>
        <v>0</v>
      </c>
      <c r="D13">
        <f>IF('Cleaned Data'!C13="North", 1, 0)</f>
        <v>1</v>
      </c>
      <c r="E13">
        <f>IF('Cleaned Data'!C13="South", 1, 0)</f>
        <v>0</v>
      </c>
      <c r="F13">
        <f>IF('Cleaned Data'!D13="High Street", 1, 0)</f>
        <v>0</v>
      </c>
      <c r="G13">
        <f>IF('Cleaned Data'!D13="Residential", 1, 0)</f>
        <v>0</v>
      </c>
      <c r="H13">
        <f>IF('Cleaned Data'!D13="Airport", 1, 0)</f>
        <v>1</v>
      </c>
    </row>
    <row r="14" spans="1:8">
      <c r="A14" t="str">
        <f>'Cleaned Data'!A14</f>
        <v>STR-1004</v>
      </c>
      <c r="B14" s="3">
        <f>'Cleaned Data'!B14</f>
        <v>45658</v>
      </c>
      <c r="C14">
        <f>IF('Cleaned Data'!C14="West", 1, 0)</f>
        <v>0</v>
      </c>
      <c r="D14">
        <f>IF('Cleaned Data'!C14="North", 1, 0)</f>
        <v>0</v>
      </c>
      <c r="E14">
        <f>IF('Cleaned Data'!C14="South", 1, 0)</f>
        <v>0</v>
      </c>
      <c r="F14">
        <f>IF('Cleaned Data'!D14="High Street", 1, 0)</f>
        <v>0</v>
      </c>
      <c r="G14">
        <f>IF('Cleaned Data'!D14="Residential", 1, 0)</f>
        <v>1</v>
      </c>
      <c r="H14">
        <f>IF('Cleaned Data'!D14="Airport", 1, 0)</f>
        <v>0</v>
      </c>
    </row>
    <row r="15" spans="1:8">
      <c r="A15" t="str">
        <f>'Cleaned Data'!A15</f>
        <v>STR-1004</v>
      </c>
      <c r="B15" s="3">
        <f>'Cleaned Data'!B15</f>
        <v>45689</v>
      </c>
      <c r="C15">
        <f>IF('Cleaned Data'!C15="West", 1, 0)</f>
        <v>0</v>
      </c>
      <c r="D15">
        <f>IF('Cleaned Data'!C15="North", 1, 0)</f>
        <v>0</v>
      </c>
      <c r="E15">
        <f>IF('Cleaned Data'!C15="South", 1, 0)</f>
        <v>0</v>
      </c>
      <c r="F15">
        <f>IF('Cleaned Data'!D15="High Street", 1, 0)</f>
        <v>0</v>
      </c>
      <c r="G15">
        <f>IF('Cleaned Data'!D15="Residential", 1, 0)</f>
        <v>1</v>
      </c>
      <c r="H15">
        <f>IF('Cleaned Data'!D15="Airport", 1, 0)</f>
        <v>0</v>
      </c>
    </row>
    <row r="16" spans="1:8">
      <c r="A16" t="str">
        <f>'Cleaned Data'!A16</f>
        <v>STR-1004</v>
      </c>
      <c r="B16" s="3">
        <f>'Cleaned Data'!B16</f>
        <v>45717</v>
      </c>
      <c r="C16">
        <f>IF('Cleaned Data'!C16="West", 1, 0)</f>
        <v>0</v>
      </c>
      <c r="D16">
        <f>IF('Cleaned Data'!C16="North", 1, 0)</f>
        <v>0</v>
      </c>
      <c r="E16">
        <f>IF('Cleaned Data'!C16="South", 1, 0)</f>
        <v>0</v>
      </c>
      <c r="F16">
        <f>IF('Cleaned Data'!D16="High Street", 1, 0)</f>
        <v>0</v>
      </c>
      <c r="G16">
        <f>IF('Cleaned Data'!D16="Residential", 1, 0)</f>
        <v>1</v>
      </c>
      <c r="H16">
        <f>IF('Cleaned Data'!D16="Airport", 1, 0)</f>
        <v>0</v>
      </c>
    </row>
    <row r="17" spans="1:8">
      <c r="A17" t="str">
        <f>'Cleaned Data'!A17</f>
        <v>STR-1004</v>
      </c>
      <c r="B17" s="3">
        <f>'Cleaned Data'!B17</f>
        <v>45748</v>
      </c>
      <c r="C17">
        <f>IF('Cleaned Data'!C17="West", 1, 0)</f>
        <v>0</v>
      </c>
      <c r="D17">
        <f>IF('Cleaned Data'!C17="North", 1, 0)</f>
        <v>0</v>
      </c>
      <c r="E17">
        <f>IF('Cleaned Data'!C17="South", 1, 0)</f>
        <v>0</v>
      </c>
      <c r="F17">
        <f>IF('Cleaned Data'!D17="High Street", 1, 0)</f>
        <v>0</v>
      </c>
      <c r="G17">
        <f>IF('Cleaned Data'!D17="Residential", 1, 0)</f>
        <v>1</v>
      </c>
      <c r="H17">
        <f>IF('Cleaned Data'!D17="Airport", 1, 0)</f>
        <v>0</v>
      </c>
    </row>
    <row r="18" spans="1:8">
      <c r="A18" t="str">
        <f>'Cleaned Data'!A18</f>
        <v>STR-1005</v>
      </c>
      <c r="B18" s="3">
        <f>'Cleaned Data'!B18</f>
        <v>45658</v>
      </c>
      <c r="C18">
        <f>IF('Cleaned Data'!C18="West", 1, 0)</f>
        <v>0</v>
      </c>
      <c r="D18">
        <f>IF('Cleaned Data'!C18="North", 1, 0)</f>
        <v>0</v>
      </c>
      <c r="E18">
        <f>IF('Cleaned Data'!C18="South", 1, 0)</f>
        <v>1</v>
      </c>
      <c r="F18">
        <f>IF('Cleaned Data'!D18="High Street", 1, 0)</f>
        <v>0</v>
      </c>
      <c r="G18">
        <f>IF('Cleaned Data'!D18="Residential", 1, 0)</f>
        <v>1</v>
      </c>
      <c r="H18">
        <f>IF('Cleaned Data'!D18="Airport", 1, 0)</f>
        <v>0</v>
      </c>
    </row>
    <row r="19" spans="1:8">
      <c r="A19" t="str">
        <f>'Cleaned Data'!A19</f>
        <v>STR-1005</v>
      </c>
      <c r="B19" s="3">
        <f>'Cleaned Data'!B19</f>
        <v>45689</v>
      </c>
      <c r="C19">
        <f>IF('Cleaned Data'!C19="West", 1, 0)</f>
        <v>0</v>
      </c>
      <c r="D19">
        <f>IF('Cleaned Data'!C19="North", 1, 0)</f>
        <v>0</v>
      </c>
      <c r="E19">
        <f>IF('Cleaned Data'!C19="South", 1, 0)</f>
        <v>1</v>
      </c>
      <c r="F19">
        <f>IF('Cleaned Data'!D19="High Street", 1, 0)</f>
        <v>0</v>
      </c>
      <c r="G19">
        <f>IF('Cleaned Data'!D19="Residential", 1, 0)</f>
        <v>1</v>
      </c>
      <c r="H19">
        <f>IF('Cleaned Data'!D19="Airport", 1, 0)</f>
        <v>0</v>
      </c>
    </row>
    <row r="20" spans="1:8">
      <c r="A20" t="str">
        <f>'Cleaned Data'!A20</f>
        <v>STR-1005</v>
      </c>
      <c r="B20" s="3">
        <f>'Cleaned Data'!B20</f>
        <v>45717</v>
      </c>
      <c r="C20">
        <f>IF('Cleaned Data'!C20="West", 1, 0)</f>
        <v>0</v>
      </c>
      <c r="D20">
        <f>IF('Cleaned Data'!C20="North", 1, 0)</f>
        <v>0</v>
      </c>
      <c r="E20">
        <f>IF('Cleaned Data'!C20="South", 1, 0)</f>
        <v>1</v>
      </c>
      <c r="F20">
        <f>IF('Cleaned Data'!D20="High Street", 1, 0)</f>
        <v>0</v>
      </c>
      <c r="G20">
        <f>IF('Cleaned Data'!D20="Residential", 1, 0)</f>
        <v>1</v>
      </c>
      <c r="H20">
        <f>IF('Cleaned Data'!D20="Airport", 1, 0)</f>
        <v>0</v>
      </c>
    </row>
    <row r="21" spans="1:8">
      <c r="A21" t="str">
        <f>'Cleaned Data'!A21</f>
        <v>STR-1005</v>
      </c>
      <c r="B21" s="3">
        <f>'Cleaned Data'!B21</f>
        <v>45748</v>
      </c>
      <c r="C21">
        <f>IF('Cleaned Data'!C21="West", 1, 0)</f>
        <v>0</v>
      </c>
      <c r="D21">
        <f>IF('Cleaned Data'!C21="North", 1, 0)</f>
        <v>0</v>
      </c>
      <c r="E21">
        <f>IF('Cleaned Data'!C21="South", 1, 0)</f>
        <v>1</v>
      </c>
      <c r="F21">
        <f>IF('Cleaned Data'!D21="High Street", 1, 0)</f>
        <v>0</v>
      </c>
      <c r="G21">
        <f>IF('Cleaned Data'!D21="Residential", 1, 0)</f>
        <v>1</v>
      </c>
      <c r="H21">
        <f>IF('Cleaned Data'!D21="Airport", 1, 0)</f>
        <v>0</v>
      </c>
    </row>
    <row r="22" spans="1:8">
      <c r="A22" t="str">
        <f>'Cleaned Data'!A22</f>
        <v>STR-1006</v>
      </c>
      <c r="B22" s="3">
        <f>'Cleaned Data'!B22</f>
        <v>45658</v>
      </c>
      <c r="C22">
        <f>IF('Cleaned Data'!C22="West", 1, 0)</f>
        <v>0</v>
      </c>
      <c r="D22">
        <f>IF('Cleaned Data'!C22="North", 1, 0)</f>
        <v>1</v>
      </c>
      <c r="E22">
        <f>IF('Cleaned Data'!C22="South", 1, 0)</f>
        <v>0</v>
      </c>
      <c r="F22">
        <f>IF('Cleaned Data'!D22="High Street", 1, 0)</f>
        <v>0</v>
      </c>
      <c r="G22">
        <f>IF('Cleaned Data'!D22="Residential", 1, 0)</f>
        <v>1</v>
      </c>
      <c r="H22">
        <f>IF('Cleaned Data'!D22="Airport", 1, 0)</f>
        <v>0</v>
      </c>
    </row>
    <row r="23" spans="1:8">
      <c r="A23" t="str">
        <f>'Cleaned Data'!A23</f>
        <v>STR-1006</v>
      </c>
      <c r="B23" s="3">
        <f>'Cleaned Data'!B23</f>
        <v>45689</v>
      </c>
      <c r="C23">
        <f>IF('Cleaned Data'!C23="West", 1, 0)</f>
        <v>0</v>
      </c>
      <c r="D23">
        <f>IF('Cleaned Data'!C23="North", 1, 0)</f>
        <v>1</v>
      </c>
      <c r="E23">
        <f>IF('Cleaned Data'!C23="South", 1, 0)</f>
        <v>0</v>
      </c>
      <c r="F23">
        <f>IF('Cleaned Data'!D23="High Street", 1, 0)</f>
        <v>0</v>
      </c>
      <c r="G23">
        <f>IF('Cleaned Data'!D23="Residential", 1, 0)</f>
        <v>1</v>
      </c>
      <c r="H23">
        <f>IF('Cleaned Data'!D23="Airport", 1, 0)</f>
        <v>0</v>
      </c>
    </row>
    <row r="24" spans="1:8">
      <c r="A24" t="str">
        <f>'Cleaned Data'!A24</f>
        <v>STR-1006</v>
      </c>
      <c r="B24" s="3">
        <f>'Cleaned Data'!B24</f>
        <v>45717</v>
      </c>
      <c r="C24">
        <f>IF('Cleaned Data'!C24="West", 1, 0)</f>
        <v>0</v>
      </c>
      <c r="D24">
        <f>IF('Cleaned Data'!C24="North", 1, 0)</f>
        <v>1</v>
      </c>
      <c r="E24">
        <f>IF('Cleaned Data'!C24="South", 1, 0)</f>
        <v>0</v>
      </c>
      <c r="F24">
        <f>IF('Cleaned Data'!D24="High Street", 1, 0)</f>
        <v>0</v>
      </c>
      <c r="G24">
        <f>IF('Cleaned Data'!D24="Residential", 1, 0)</f>
        <v>1</v>
      </c>
      <c r="H24">
        <f>IF('Cleaned Data'!D24="Airport", 1, 0)</f>
        <v>0</v>
      </c>
    </row>
    <row r="25" spans="1:8">
      <c r="A25" t="str">
        <f>'Cleaned Data'!A25</f>
        <v>STR-1006</v>
      </c>
      <c r="B25" s="3">
        <f>'Cleaned Data'!B25</f>
        <v>45748</v>
      </c>
      <c r="C25">
        <f>IF('Cleaned Data'!C25="West", 1, 0)</f>
        <v>0</v>
      </c>
      <c r="D25">
        <f>IF('Cleaned Data'!C25="North", 1, 0)</f>
        <v>1</v>
      </c>
      <c r="E25">
        <f>IF('Cleaned Data'!C25="South", 1, 0)</f>
        <v>0</v>
      </c>
      <c r="F25">
        <f>IF('Cleaned Data'!D25="High Street", 1, 0)</f>
        <v>0</v>
      </c>
      <c r="G25">
        <f>IF('Cleaned Data'!D25="Residential", 1, 0)</f>
        <v>1</v>
      </c>
      <c r="H25">
        <f>IF('Cleaned Data'!D25="Airport", 1, 0)</f>
        <v>0</v>
      </c>
    </row>
    <row r="26" spans="1:8">
      <c r="A26" t="str">
        <f>'Cleaned Data'!A26</f>
        <v>STR-1007</v>
      </c>
      <c r="B26" s="3">
        <f>'Cleaned Data'!B26</f>
        <v>45658</v>
      </c>
      <c r="C26">
        <f>IF('Cleaned Data'!C26="West", 1, 0)</f>
        <v>1</v>
      </c>
      <c r="D26">
        <f>IF('Cleaned Data'!C26="North", 1, 0)</f>
        <v>0</v>
      </c>
      <c r="E26">
        <f>IF('Cleaned Data'!C26="South", 1, 0)</f>
        <v>0</v>
      </c>
      <c r="F26">
        <f>IF('Cleaned Data'!D26="High Street", 1, 0)</f>
        <v>0</v>
      </c>
      <c r="G26">
        <f>IF('Cleaned Data'!D26="Residential", 1, 0)</f>
        <v>0</v>
      </c>
      <c r="H26">
        <f>IF('Cleaned Data'!D26="Airport", 1, 0)</f>
        <v>0</v>
      </c>
    </row>
    <row r="27" spans="1:8">
      <c r="A27" t="str">
        <f>'Cleaned Data'!A27</f>
        <v>STR-1007</v>
      </c>
      <c r="B27" s="3">
        <f>'Cleaned Data'!B27</f>
        <v>45689</v>
      </c>
      <c r="C27">
        <f>IF('Cleaned Data'!C27="West", 1, 0)</f>
        <v>1</v>
      </c>
      <c r="D27">
        <f>IF('Cleaned Data'!C27="North", 1, 0)</f>
        <v>0</v>
      </c>
      <c r="E27">
        <f>IF('Cleaned Data'!C27="South", 1, 0)</f>
        <v>0</v>
      </c>
      <c r="F27">
        <f>IF('Cleaned Data'!D27="High Street", 1, 0)</f>
        <v>0</v>
      </c>
      <c r="G27">
        <f>IF('Cleaned Data'!D27="Residential", 1, 0)</f>
        <v>0</v>
      </c>
      <c r="H27">
        <f>IF('Cleaned Data'!D27="Airport", 1, 0)</f>
        <v>0</v>
      </c>
    </row>
    <row r="28" spans="1:8">
      <c r="A28" t="str">
        <f>'Cleaned Data'!A28</f>
        <v>STR-1007</v>
      </c>
      <c r="B28" s="3">
        <f>'Cleaned Data'!B28</f>
        <v>45717</v>
      </c>
      <c r="C28">
        <f>IF('Cleaned Data'!C28="West", 1, 0)</f>
        <v>1</v>
      </c>
      <c r="D28">
        <f>IF('Cleaned Data'!C28="North", 1, 0)</f>
        <v>0</v>
      </c>
      <c r="E28">
        <f>IF('Cleaned Data'!C28="South", 1, 0)</f>
        <v>0</v>
      </c>
      <c r="F28">
        <f>IF('Cleaned Data'!D28="High Street", 1, 0)</f>
        <v>0</v>
      </c>
      <c r="G28">
        <f>IF('Cleaned Data'!D28="Residential", 1, 0)</f>
        <v>0</v>
      </c>
      <c r="H28">
        <f>IF('Cleaned Data'!D28="Airport", 1, 0)</f>
        <v>0</v>
      </c>
    </row>
    <row r="29" spans="1:8">
      <c r="A29" t="str">
        <f>'Cleaned Data'!A29</f>
        <v>STR-1007</v>
      </c>
      <c r="B29" s="3">
        <f>'Cleaned Data'!B29</f>
        <v>45748</v>
      </c>
      <c r="C29">
        <f>IF('Cleaned Data'!C29="West", 1, 0)</f>
        <v>1</v>
      </c>
      <c r="D29">
        <f>IF('Cleaned Data'!C29="North", 1, 0)</f>
        <v>0</v>
      </c>
      <c r="E29">
        <f>IF('Cleaned Data'!C29="South", 1, 0)</f>
        <v>0</v>
      </c>
      <c r="F29">
        <f>IF('Cleaned Data'!D29="High Street", 1, 0)</f>
        <v>0</v>
      </c>
      <c r="G29">
        <f>IF('Cleaned Data'!D29="Residential", 1, 0)</f>
        <v>0</v>
      </c>
      <c r="H29">
        <f>IF('Cleaned Data'!D29="Airport", 1, 0)</f>
        <v>0</v>
      </c>
    </row>
    <row r="30" spans="1:8">
      <c r="A30" t="str">
        <f>'Cleaned Data'!A30</f>
        <v>STR-1008</v>
      </c>
      <c r="B30" s="3">
        <f>'Cleaned Data'!B30</f>
        <v>45658</v>
      </c>
      <c r="C30">
        <f>IF('Cleaned Data'!C30="West", 1, 0)</f>
        <v>0</v>
      </c>
      <c r="D30">
        <f>IF('Cleaned Data'!C30="North", 1, 0)</f>
        <v>0</v>
      </c>
      <c r="E30">
        <f>IF('Cleaned Data'!C30="South", 1, 0)</f>
        <v>0</v>
      </c>
      <c r="F30">
        <f>IF('Cleaned Data'!D30="High Street", 1, 0)</f>
        <v>0</v>
      </c>
      <c r="G30">
        <f>IF('Cleaned Data'!D30="Residential", 1, 0)</f>
        <v>1</v>
      </c>
      <c r="H30">
        <f>IF('Cleaned Data'!D30="Airport", 1, 0)</f>
        <v>0</v>
      </c>
    </row>
    <row r="31" spans="1:8">
      <c r="A31" t="str">
        <f>'Cleaned Data'!A31</f>
        <v>STR-1008</v>
      </c>
      <c r="B31" s="3">
        <f>'Cleaned Data'!B31</f>
        <v>45689</v>
      </c>
      <c r="C31">
        <f>IF('Cleaned Data'!C31="West", 1, 0)</f>
        <v>0</v>
      </c>
      <c r="D31">
        <f>IF('Cleaned Data'!C31="North", 1, 0)</f>
        <v>0</v>
      </c>
      <c r="E31">
        <f>IF('Cleaned Data'!C31="South", 1, 0)</f>
        <v>0</v>
      </c>
      <c r="F31">
        <f>IF('Cleaned Data'!D31="High Street", 1, 0)</f>
        <v>0</v>
      </c>
      <c r="G31">
        <f>IF('Cleaned Data'!D31="Residential", 1, 0)</f>
        <v>1</v>
      </c>
      <c r="H31">
        <f>IF('Cleaned Data'!D31="Airport", 1, 0)</f>
        <v>0</v>
      </c>
    </row>
    <row r="32" spans="1:8">
      <c r="A32" t="str">
        <f>'Cleaned Data'!A32</f>
        <v>STR-1008</v>
      </c>
      <c r="B32" s="3">
        <f>'Cleaned Data'!B32</f>
        <v>45717</v>
      </c>
      <c r="C32">
        <f>IF('Cleaned Data'!C32="West", 1, 0)</f>
        <v>0</v>
      </c>
      <c r="D32">
        <f>IF('Cleaned Data'!C32="North", 1, 0)</f>
        <v>0</v>
      </c>
      <c r="E32">
        <f>IF('Cleaned Data'!C32="South", 1, 0)</f>
        <v>0</v>
      </c>
      <c r="F32">
        <f>IF('Cleaned Data'!D32="High Street", 1, 0)</f>
        <v>0</v>
      </c>
      <c r="G32">
        <f>IF('Cleaned Data'!D32="Residential", 1, 0)</f>
        <v>1</v>
      </c>
      <c r="H32">
        <f>IF('Cleaned Data'!D32="Airport", 1, 0)</f>
        <v>0</v>
      </c>
    </row>
    <row r="33" spans="1:8">
      <c r="A33" t="str">
        <f>'Cleaned Data'!A33</f>
        <v>STR-1008</v>
      </c>
      <c r="B33" s="3">
        <f>'Cleaned Data'!B33</f>
        <v>45748</v>
      </c>
      <c r="C33">
        <f>IF('Cleaned Data'!C33="West", 1, 0)</f>
        <v>0</v>
      </c>
      <c r="D33">
        <f>IF('Cleaned Data'!C33="North", 1, 0)</f>
        <v>0</v>
      </c>
      <c r="E33">
        <f>IF('Cleaned Data'!C33="South", 1, 0)</f>
        <v>0</v>
      </c>
      <c r="F33">
        <f>IF('Cleaned Data'!D33="High Street", 1, 0)</f>
        <v>0</v>
      </c>
      <c r="G33">
        <f>IF('Cleaned Data'!D33="Residential", 1, 0)</f>
        <v>1</v>
      </c>
      <c r="H33">
        <f>IF('Cleaned Data'!D33="Airport", 1, 0)</f>
        <v>0</v>
      </c>
    </row>
    <row r="34" spans="1:8">
      <c r="A34" t="str">
        <f>'Cleaned Data'!A34</f>
        <v>STR-1009</v>
      </c>
      <c r="B34" s="3">
        <f>'Cleaned Data'!B34</f>
        <v>45658</v>
      </c>
      <c r="C34">
        <f>IF('Cleaned Data'!C34="West", 1, 0)</f>
        <v>0</v>
      </c>
      <c r="D34">
        <f>IF('Cleaned Data'!C34="North", 1, 0)</f>
        <v>1</v>
      </c>
      <c r="E34">
        <f>IF('Cleaned Data'!C34="South", 1, 0)</f>
        <v>0</v>
      </c>
      <c r="F34">
        <f>IF('Cleaned Data'!D34="High Street", 1, 0)</f>
        <v>0</v>
      </c>
      <c r="G34">
        <f>IF('Cleaned Data'!D34="Residential", 1, 0)</f>
        <v>1</v>
      </c>
      <c r="H34">
        <f>IF('Cleaned Data'!D34="Airport", 1, 0)</f>
        <v>0</v>
      </c>
    </row>
    <row r="35" spans="1:8">
      <c r="A35" t="str">
        <f>'Cleaned Data'!A35</f>
        <v>STR-1009</v>
      </c>
      <c r="B35" s="3">
        <f>'Cleaned Data'!B35</f>
        <v>45689</v>
      </c>
      <c r="C35">
        <f>IF('Cleaned Data'!C35="West", 1, 0)</f>
        <v>0</v>
      </c>
      <c r="D35">
        <f>IF('Cleaned Data'!C35="North", 1, 0)</f>
        <v>1</v>
      </c>
      <c r="E35">
        <f>IF('Cleaned Data'!C35="South", 1, 0)</f>
        <v>0</v>
      </c>
      <c r="F35">
        <f>IF('Cleaned Data'!D35="High Street", 1, 0)</f>
        <v>0</v>
      </c>
      <c r="G35">
        <f>IF('Cleaned Data'!D35="Residential", 1, 0)</f>
        <v>1</v>
      </c>
      <c r="H35">
        <f>IF('Cleaned Data'!D35="Airport", 1, 0)</f>
        <v>0</v>
      </c>
    </row>
    <row r="36" spans="1:8">
      <c r="A36" t="str">
        <f>'Cleaned Data'!A36</f>
        <v>STR-1009</v>
      </c>
      <c r="B36" s="3">
        <f>'Cleaned Data'!B36</f>
        <v>45717</v>
      </c>
      <c r="C36">
        <f>IF('Cleaned Data'!C36="West", 1, 0)</f>
        <v>0</v>
      </c>
      <c r="D36">
        <f>IF('Cleaned Data'!C36="North", 1, 0)</f>
        <v>1</v>
      </c>
      <c r="E36">
        <f>IF('Cleaned Data'!C36="South", 1, 0)</f>
        <v>0</v>
      </c>
      <c r="F36">
        <f>IF('Cleaned Data'!D36="High Street", 1, 0)</f>
        <v>0</v>
      </c>
      <c r="G36">
        <f>IF('Cleaned Data'!D36="Residential", 1, 0)</f>
        <v>1</v>
      </c>
      <c r="H36">
        <f>IF('Cleaned Data'!D36="Airport", 1, 0)</f>
        <v>0</v>
      </c>
    </row>
    <row r="37" spans="1:8">
      <c r="A37" t="str">
        <f>'Cleaned Data'!A37</f>
        <v>STR-1009</v>
      </c>
      <c r="B37" s="3">
        <f>'Cleaned Data'!B37</f>
        <v>45748</v>
      </c>
      <c r="C37">
        <f>IF('Cleaned Data'!C37="West", 1, 0)</f>
        <v>0</v>
      </c>
      <c r="D37">
        <f>IF('Cleaned Data'!C37="North", 1, 0)</f>
        <v>1</v>
      </c>
      <c r="E37">
        <f>IF('Cleaned Data'!C37="South", 1, 0)</f>
        <v>0</v>
      </c>
      <c r="F37">
        <f>IF('Cleaned Data'!D37="High Street", 1, 0)</f>
        <v>0</v>
      </c>
      <c r="G37">
        <f>IF('Cleaned Data'!D37="Residential", 1, 0)</f>
        <v>1</v>
      </c>
      <c r="H37">
        <f>IF('Cleaned Data'!D37="Airport", 1, 0)</f>
        <v>0</v>
      </c>
    </row>
    <row r="38" spans="1:8">
      <c r="A38" t="str">
        <f>'Cleaned Data'!A38</f>
        <v>STR-1010</v>
      </c>
      <c r="B38" s="3">
        <f>'Cleaned Data'!B38</f>
        <v>45658</v>
      </c>
      <c r="C38">
        <f>IF('Cleaned Data'!C38="West", 1, 0)</f>
        <v>0</v>
      </c>
      <c r="D38">
        <f>IF('Cleaned Data'!C38="North", 1, 0)</f>
        <v>1</v>
      </c>
      <c r="E38">
        <f>IF('Cleaned Data'!C38="South", 1, 0)</f>
        <v>0</v>
      </c>
      <c r="F38">
        <f>IF('Cleaned Data'!D38="High Street", 1, 0)</f>
        <v>0</v>
      </c>
      <c r="G38">
        <f>IF('Cleaned Data'!D38="Residential", 1, 0)</f>
        <v>0</v>
      </c>
      <c r="H38">
        <f>IF('Cleaned Data'!D38="Airport", 1, 0)</f>
        <v>0</v>
      </c>
    </row>
    <row r="39" spans="1:8">
      <c r="A39" t="str">
        <f>'Cleaned Data'!A39</f>
        <v>STR-1010</v>
      </c>
      <c r="B39" s="3">
        <f>'Cleaned Data'!B39</f>
        <v>45689</v>
      </c>
      <c r="C39">
        <f>IF('Cleaned Data'!C39="West", 1, 0)</f>
        <v>0</v>
      </c>
      <c r="D39">
        <f>IF('Cleaned Data'!C39="North", 1, 0)</f>
        <v>1</v>
      </c>
      <c r="E39">
        <f>IF('Cleaned Data'!C39="South", 1, 0)</f>
        <v>0</v>
      </c>
      <c r="F39">
        <f>IF('Cleaned Data'!D39="High Street", 1, 0)</f>
        <v>0</v>
      </c>
      <c r="G39">
        <f>IF('Cleaned Data'!D39="Residential", 1, 0)</f>
        <v>0</v>
      </c>
      <c r="H39">
        <f>IF('Cleaned Data'!D39="Airport", 1, 0)</f>
        <v>0</v>
      </c>
    </row>
    <row r="40" spans="1:8">
      <c r="A40" t="str">
        <f>'Cleaned Data'!A40</f>
        <v>STR-1010</v>
      </c>
      <c r="B40" s="3">
        <f>'Cleaned Data'!B40</f>
        <v>45717</v>
      </c>
      <c r="C40">
        <f>IF('Cleaned Data'!C40="West", 1, 0)</f>
        <v>0</v>
      </c>
      <c r="D40">
        <f>IF('Cleaned Data'!C40="North", 1, 0)</f>
        <v>1</v>
      </c>
      <c r="E40">
        <f>IF('Cleaned Data'!C40="South", 1, 0)</f>
        <v>0</v>
      </c>
      <c r="F40">
        <f>IF('Cleaned Data'!D40="High Street", 1, 0)</f>
        <v>0</v>
      </c>
      <c r="G40">
        <f>IF('Cleaned Data'!D40="Residential", 1, 0)</f>
        <v>0</v>
      </c>
      <c r="H40">
        <f>IF('Cleaned Data'!D40="Airport", 1, 0)</f>
        <v>0</v>
      </c>
    </row>
    <row r="41" spans="1:8">
      <c r="A41" t="str">
        <f>'Cleaned Data'!A41</f>
        <v>STR-1010</v>
      </c>
      <c r="B41" s="3">
        <f>'Cleaned Data'!B41</f>
        <v>45748</v>
      </c>
      <c r="C41">
        <f>IF('Cleaned Data'!C41="West", 1, 0)</f>
        <v>0</v>
      </c>
      <c r="D41">
        <f>IF('Cleaned Data'!C41="North", 1, 0)</f>
        <v>1</v>
      </c>
      <c r="E41">
        <f>IF('Cleaned Data'!C41="South", 1, 0)</f>
        <v>0</v>
      </c>
      <c r="F41">
        <f>IF('Cleaned Data'!D41="High Street", 1, 0)</f>
        <v>0</v>
      </c>
      <c r="G41">
        <f>IF('Cleaned Data'!D41="Residential", 1, 0)</f>
        <v>0</v>
      </c>
      <c r="H41">
        <f>IF('Cleaned Data'!D41="Airport", 1, 0)</f>
        <v>0</v>
      </c>
    </row>
    <row r="42" spans="1:8">
      <c r="A42" t="str">
        <f>'Cleaned Data'!A42</f>
        <v>STR-1011</v>
      </c>
      <c r="B42" s="3">
        <f>'Cleaned Data'!B42</f>
        <v>45658</v>
      </c>
      <c r="C42">
        <f>IF('Cleaned Data'!C42="West", 1, 0)</f>
        <v>0</v>
      </c>
      <c r="D42">
        <f>IF('Cleaned Data'!C42="North", 1, 0)</f>
        <v>0</v>
      </c>
      <c r="E42">
        <f>IF('Cleaned Data'!C42="South", 1, 0)</f>
        <v>0</v>
      </c>
      <c r="F42">
        <f>IF('Cleaned Data'!D42="High Street", 1, 0)</f>
        <v>0</v>
      </c>
      <c r="G42">
        <f>IF('Cleaned Data'!D42="Residential", 1, 0)</f>
        <v>0</v>
      </c>
      <c r="H42">
        <f>IF('Cleaned Data'!D42="Airport", 1, 0)</f>
        <v>0</v>
      </c>
    </row>
    <row r="43" spans="1:8">
      <c r="A43" t="str">
        <f>'Cleaned Data'!A43</f>
        <v>STR-1011</v>
      </c>
      <c r="B43" s="3">
        <f>'Cleaned Data'!B43</f>
        <v>45689</v>
      </c>
      <c r="C43">
        <f>IF('Cleaned Data'!C43="West", 1, 0)</f>
        <v>0</v>
      </c>
      <c r="D43">
        <f>IF('Cleaned Data'!C43="North", 1, 0)</f>
        <v>0</v>
      </c>
      <c r="E43">
        <f>IF('Cleaned Data'!C43="South", 1, 0)</f>
        <v>0</v>
      </c>
      <c r="F43">
        <f>IF('Cleaned Data'!D43="High Street", 1, 0)</f>
        <v>0</v>
      </c>
      <c r="G43">
        <f>IF('Cleaned Data'!D43="Residential", 1, 0)</f>
        <v>0</v>
      </c>
      <c r="H43">
        <f>IF('Cleaned Data'!D43="Airport", 1, 0)</f>
        <v>0</v>
      </c>
    </row>
    <row r="44" spans="1:8">
      <c r="A44" t="str">
        <f>'Cleaned Data'!A44</f>
        <v>STR-1011</v>
      </c>
      <c r="B44" s="3">
        <f>'Cleaned Data'!B44</f>
        <v>45717</v>
      </c>
      <c r="C44">
        <f>IF('Cleaned Data'!C44="West", 1, 0)</f>
        <v>0</v>
      </c>
      <c r="D44">
        <f>IF('Cleaned Data'!C44="North", 1, 0)</f>
        <v>0</v>
      </c>
      <c r="E44">
        <f>IF('Cleaned Data'!C44="South", 1, 0)</f>
        <v>0</v>
      </c>
      <c r="F44">
        <f>IF('Cleaned Data'!D44="High Street", 1, 0)</f>
        <v>0</v>
      </c>
      <c r="G44">
        <f>IF('Cleaned Data'!D44="Residential", 1, 0)</f>
        <v>0</v>
      </c>
      <c r="H44">
        <f>IF('Cleaned Data'!D44="Airport", 1, 0)</f>
        <v>0</v>
      </c>
    </row>
    <row r="45" spans="1:8">
      <c r="A45" t="str">
        <f>'Cleaned Data'!A45</f>
        <v>STR-1011</v>
      </c>
      <c r="B45" s="3">
        <f>'Cleaned Data'!B45</f>
        <v>45748</v>
      </c>
      <c r="C45">
        <f>IF('Cleaned Data'!C45="West", 1, 0)</f>
        <v>0</v>
      </c>
      <c r="D45">
        <f>IF('Cleaned Data'!C45="North", 1, 0)</f>
        <v>0</v>
      </c>
      <c r="E45">
        <f>IF('Cleaned Data'!C45="South", 1, 0)</f>
        <v>0</v>
      </c>
      <c r="F45">
        <f>IF('Cleaned Data'!D45="High Street", 1, 0)</f>
        <v>0</v>
      </c>
      <c r="G45">
        <f>IF('Cleaned Data'!D45="Residential", 1, 0)</f>
        <v>0</v>
      </c>
      <c r="H45">
        <f>IF('Cleaned Data'!D45="Airport", 1, 0)</f>
        <v>0</v>
      </c>
    </row>
    <row r="46" spans="1:8">
      <c r="A46" t="str">
        <f>'Cleaned Data'!A46</f>
        <v>STR-1012</v>
      </c>
      <c r="B46" s="3">
        <f>'Cleaned Data'!B46</f>
        <v>45658</v>
      </c>
      <c r="C46">
        <f>IF('Cleaned Data'!C46="West", 1, 0)</f>
        <v>1</v>
      </c>
      <c r="D46">
        <f>IF('Cleaned Data'!C46="North", 1, 0)</f>
        <v>0</v>
      </c>
      <c r="E46">
        <f>IF('Cleaned Data'!C46="South", 1, 0)</f>
        <v>0</v>
      </c>
      <c r="F46">
        <f>IF('Cleaned Data'!D46="High Street", 1, 0)</f>
        <v>0</v>
      </c>
      <c r="G46">
        <f>IF('Cleaned Data'!D46="Residential", 1, 0)</f>
        <v>1</v>
      </c>
      <c r="H46">
        <f>IF('Cleaned Data'!D46="Airport", 1, 0)</f>
        <v>0</v>
      </c>
    </row>
    <row r="47" spans="1:8">
      <c r="A47" t="str">
        <f>'Cleaned Data'!A47</f>
        <v>STR-1012</v>
      </c>
      <c r="B47" s="3">
        <f>'Cleaned Data'!B47</f>
        <v>45689</v>
      </c>
      <c r="C47">
        <f>IF('Cleaned Data'!C47="West", 1, 0)</f>
        <v>1</v>
      </c>
      <c r="D47">
        <f>IF('Cleaned Data'!C47="North", 1, 0)</f>
        <v>0</v>
      </c>
      <c r="E47">
        <f>IF('Cleaned Data'!C47="South", 1, 0)</f>
        <v>0</v>
      </c>
      <c r="F47">
        <f>IF('Cleaned Data'!D47="High Street", 1, 0)</f>
        <v>0</v>
      </c>
      <c r="G47">
        <f>IF('Cleaned Data'!D47="Residential", 1, 0)</f>
        <v>1</v>
      </c>
      <c r="H47">
        <f>IF('Cleaned Data'!D47="Airport", 1, 0)</f>
        <v>0</v>
      </c>
    </row>
    <row r="48" spans="1:8">
      <c r="A48" t="str">
        <f>'Cleaned Data'!A48</f>
        <v>STR-1012</v>
      </c>
      <c r="B48" s="3">
        <f>'Cleaned Data'!B48</f>
        <v>45717</v>
      </c>
      <c r="C48">
        <f>IF('Cleaned Data'!C48="West", 1, 0)</f>
        <v>1</v>
      </c>
      <c r="D48">
        <f>IF('Cleaned Data'!C48="North", 1, 0)</f>
        <v>0</v>
      </c>
      <c r="E48">
        <f>IF('Cleaned Data'!C48="South", 1, 0)</f>
        <v>0</v>
      </c>
      <c r="F48">
        <f>IF('Cleaned Data'!D48="High Street", 1, 0)</f>
        <v>0</v>
      </c>
      <c r="G48">
        <f>IF('Cleaned Data'!D48="Residential", 1, 0)</f>
        <v>1</v>
      </c>
      <c r="H48">
        <f>IF('Cleaned Data'!D48="Airport", 1, 0)</f>
        <v>0</v>
      </c>
    </row>
    <row r="49" spans="1:8">
      <c r="A49" t="str">
        <f>'Cleaned Data'!A49</f>
        <v>STR-1012</v>
      </c>
      <c r="B49" s="3">
        <f>'Cleaned Data'!B49</f>
        <v>45748</v>
      </c>
      <c r="C49">
        <f>IF('Cleaned Data'!C49="West", 1, 0)</f>
        <v>1</v>
      </c>
      <c r="D49">
        <f>IF('Cleaned Data'!C49="North", 1, 0)</f>
        <v>0</v>
      </c>
      <c r="E49">
        <f>IF('Cleaned Data'!C49="South", 1, 0)</f>
        <v>0</v>
      </c>
      <c r="F49">
        <f>IF('Cleaned Data'!D49="High Street", 1, 0)</f>
        <v>0</v>
      </c>
      <c r="G49">
        <f>IF('Cleaned Data'!D49="Residential", 1, 0)</f>
        <v>1</v>
      </c>
      <c r="H49">
        <f>IF('Cleaned Data'!D49="Airport", 1, 0)</f>
        <v>0</v>
      </c>
    </row>
    <row r="50" spans="1:8">
      <c r="A50" t="str">
        <f>'Cleaned Data'!A50</f>
        <v>STR-1013</v>
      </c>
      <c r="B50" s="3">
        <f>'Cleaned Data'!B50</f>
        <v>45658</v>
      </c>
      <c r="C50">
        <f>IF('Cleaned Data'!C50="West", 1, 0)</f>
        <v>0</v>
      </c>
      <c r="D50">
        <f>IF('Cleaned Data'!C50="North", 1, 0)</f>
        <v>1</v>
      </c>
      <c r="E50">
        <f>IF('Cleaned Data'!C50="South", 1, 0)</f>
        <v>0</v>
      </c>
      <c r="F50">
        <f>IF('Cleaned Data'!D50="High Street", 1, 0)</f>
        <v>0</v>
      </c>
      <c r="G50">
        <f>IF('Cleaned Data'!D50="Residential", 1, 0)</f>
        <v>0</v>
      </c>
      <c r="H50">
        <f>IF('Cleaned Data'!D50="Airport", 1, 0)</f>
        <v>0</v>
      </c>
    </row>
    <row r="51" spans="1:8">
      <c r="A51" t="str">
        <f>'Cleaned Data'!A51</f>
        <v>STR-1013</v>
      </c>
      <c r="B51" s="3">
        <f>'Cleaned Data'!B51</f>
        <v>45689</v>
      </c>
      <c r="C51">
        <f>IF('Cleaned Data'!C51="West", 1, 0)</f>
        <v>0</v>
      </c>
      <c r="D51">
        <f>IF('Cleaned Data'!C51="North", 1, 0)</f>
        <v>1</v>
      </c>
      <c r="E51">
        <f>IF('Cleaned Data'!C51="South", 1, 0)</f>
        <v>0</v>
      </c>
      <c r="F51">
        <f>IF('Cleaned Data'!D51="High Street", 1, 0)</f>
        <v>0</v>
      </c>
      <c r="G51">
        <f>IF('Cleaned Data'!D51="Residential", 1, 0)</f>
        <v>0</v>
      </c>
      <c r="H51">
        <f>IF('Cleaned Data'!D51="Airport", 1, 0)</f>
        <v>0</v>
      </c>
    </row>
    <row r="52" spans="1:8">
      <c r="A52" t="str">
        <f>'Cleaned Data'!A52</f>
        <v>STR-1013</v>
      </c>
      <c r="B52" s="3">
        <f>'Cleaned Data'!B52</f>
        <v>45717</v>
      </c>
      <c r="C52">
        <f>IF('Cleaned Data'!C52="West", 1, 0)</f>
        <v>0</v>
      </c>
      <c r="D52">
        <f>IF('Cleaned Data'!C52="North", 1, 0)</f>
        <v>1</v>
      </c>
      <c r="E52">
        <f>IF('Cleaned Data'!C52="South", 1, 0)</f>
        <v>0</v>
      </c>
      <c r="F52">
        <f>IF('Cleaned Data'!D52="High Street", 1, 0)</f>
        <v>0</v>
      </c>
      <c r="G52">
        <f>IF('Cleaned Data'!D52="Residential", 1, 0)</f>
        <v>0</v>
      </c>
      <c r="H52">
        <f>IF('Cleaned Data'!D52="Airport", 1, 0)</f>
        <v>0</v>
      </c>
    </row>
    <row r="53" spans="1:8">
      <c r="A53" t="str">
        <f>'Cleaned Data'!A53</f>
        <v>STR-1013</v>
      </c>
      <c r="B53" s="3">
        <f>'Cleaned Data'!B53</f>
        <v>45748</v>
      </c>
      <c r="C53">
        <f>IF('Cleaned Data'!C53="West", 1, 0)</f>
        <v>0</v>
      </c>
      <c r="D53">
        <f>IF('Cleaned Data'!C53="North", 1, 0)</f>
        <v>1</v>
      </c>
      <c r="E53">
        <f>IF('Cleaned Data'!C53="South", 1, 0)</f>
        <v>0</v>
      </c>
      <c r="F53">
        <f>IF('Cleaned Data'!D53="High Street", 1, 0)</f>
        <v>0</v>
      </c>
      <c r="G53">
        <f>IF('Cleaned Data'!D53="Residential", 1, 0)</f>
        <v>0</v>
      </c>
      <c r="H53">
        <f>IF('Cleaned Data'!D53="Airport", 1, 0)</f>
        <v>0</v>
      </c>
    </row>
    <row r="54" spans="1:8">
      <c r="A54" t="str">
        <f>'Cleaned Data'!A54</f>
        <v>STR-1014</v>
      </c>
      <c r="B54" s="3">
        <f>'Cleaned Data'!B54</f>
        <v>45658</v>
      </c>
      <c r="C54">
        <f>IF('Cleaned Data'!C54="West", 1, 0)</f>
        <v>1</v>
      </c>
      <c r="D54">
        <f>IF('Cleaned Data'!C54="North", 1, 0)</f>
        <v>0</v>
      </c>
      <c r="E54">
        <f>IF('Cleaned Data'!C54="South", 1, 0)</f>
        <v>0</v>
      </c>
      <c r="F54">
        <f>IF('Cleaned Data'!D54="High Street", 1, 0)</f>
        <v>1</v>
      </c>
      <c r="G54">
        <f>IF('Cleaned Data'!D54="Residential", 1, 0)</f>
        <v>0</v>
      </c>
      <c r="H54">
        <f>IF('Cleaned Data'!D54="Airport", 1, 0)</f>
        <v>0</v>
      </c>
    </row>
    <row r="55" spans="1:8">
      <c r="A55" t="str">
        <f>'Cleaned Data'!A55</f>
        <v>STR-1014</v>
      </c>
      <c r="B55" s="3">
        <f>'Cleaned Data'!B55</f>
        <v>45689</v>
      </c>
      <c r="C55">
        <f>IF('Cleaned Data'!C55="West", 1, 0)</f>
        <v>1</v>
      </c>
      <c r="D55">
        <f>IF('Cleaned Data'!C55="North", 1, 0)</f>
        <v>0</v>
      </c>
      <c r="E55">
        <f>IF('Cleaned Data'!C55="South", 1, 0)</f>
        <v>0</v>
      </c>
      <c r="F55">
        <f>IF('Cleaned Data'!D55="High Street", 1, 0)</f>
        <v>1</v>
      </c>
      <c r="G55">
        <f>IF('Cleaned Data'!D55="Residential", 1, 0)</f>
        <v>0</v>
      </c>
      <c r="H55">
        <f>IF('Cleaned Data'!D55="Airport", 1, 0)</f>
        <v>0</v>
      </c>
    </row>
    <row r="56" spans="1:8">
      <c r="A56" t="str">
        <f>'Cleaned Data'!A56</f>
        <v>STR-1014</v>
      </c>
      <c r="B56" s="3">
        <f>'Cleaned Data'!B56</f>
        <v>45717</v>
      </c>
      <c r="C56">
        <f>IF('Cleaned Data'!C56="West", 1, 0)</f>
        <v>1</v>
      </c>
      <c r="D56">
        <f>IF('Cleaned Data'!C56="North", 1, 0)</f>
        <v>0</v>
      </c>
      <c r="E56">
        <f>IF('Cleaned Data'!C56="South", 1, 0)</f>
        <v>0</v>
      </c>
      <c r="F56">
        <f>IF('Cleaned Data'!D56="High Street", 1, 0)</f>
        <v>1</v>
      </c>
      <c r="G56">
        <f>IF('Cleaned Data'!D56="Residential", 1, 0)</f>
        <v>0</v>
      </c>
      <c r="H56">
        <f>IF('Cleaned Data'!D56="Airport", 1, 0)</f>
        <v>0</v>
      </c>
    </row>
    <row r="57" spans="1:8">
      <c r="A57" t="str">
        <f>'Cleaned Data'!A57</f>
        <v>STR-1014</v>
      </c>
      <c r="B57" s="3">
        <f>'Cleaned Data'!B57</f>
        <v>45748</v>
      </c>
      <c r="C57">
        <f>IF('Cleaned Data'!C57="West", 1, 0)</f>
        <v>1</v>
      </c>
      <c r="D57">
        <f>IF('Cleaned Data'!C57="North", 1, 0)</f>
        <v>0</v>
      </c>
      <c r="E57">
        <f>IF('Cleaned Data'!C57="South", 1, 0)</f>
        <v>0</v>
      </c>
      <c r="F57">
        <f>IF('Cleaned Data'!D57="High Street", 1, 0)</f>
        <v>1</v>
      </c>
      <c r="G57">
        <f>IF('Cleaned Data'!D57="Residential", 1, 0)</f>
        <v>0</v>
      </c>
      <c r="H57">
        <f>IF('Cleaned Data'!D57="Airport", 1, 0)</f>
        <v>0</v>
      </c>
    </row>
    <row r="58" spans="1:8">
      <c r="A58" t="str">
        <f>'Cleaned Data'!A58</f>
        <v>STR-1015</v>
      </c>
      <c r="B58" s="3">
        <f>'Cleaned Data'!B58</f>
        <v>45658</v>
      </c>
      <c r="C58">
        <f>IF('Cleaned Data'!C58="West", 1, 0)</f>
        <v>0</v>
      </c>
      <c r="D58">
        <f>IF('Cleaned Data'!C58="North", 1, 0)</f>
        <v>0</v>
      </c>
      <c r="E58">
        <f>IF('Cleaned Data'!C58="South", 1, 0)</f>
        <v>0</v>
      </c>
      <c r="F58">
        <f>IF('Cleaned Data'!D58="High Street", 1, 0)</f>
        <v>0</v>
      </c>
      <c r="G58">
        <f>IF('Cleaned Data'!D58="Residential", 1, 0)</f>
        <v>0</v>
      </c>
      <c r="H58">
        <f>IF('Cleaned Data'!D58="Airport", 1, 0)</f>
        <v>1</v>
      </c>
    </row>
    <row r="59" spans="1:8">
      <c r="A59" t="str">
        <f>'Cleaned Data'!A59</f>
        <v>STR-1015</v>
      </c>
      <c r="B59" s="3">
        <f>'Cleaned Data'!B59</f>
        <v>45689</v>
      </c>
      <c r="C59">
        <f>IF('Cleaned Data'!C59="West", 1, 0)</f>
        <v>0</v>
      </c>
      <c r="D59">
        <f>IF('Cleaned Data'!C59="North", 1, 0)</f>
        <v>0</v>
      </c>
      <c r="E59">
        <f>IF('Cleaned Data'!C59="South", 1, 0)</f>
        <v>0</v>
      </c>
      <c r="F59">
        <f>IF('Cleaned Data'!D59="High Street", 1, 0)</f>
        <v>0</v>
      </c>
      <c r="G59">
        <f>IF('Cleaned Data'!D59="Residential", 1, 0)</f>
        <v>0</v>
      </c>
      <c r="H59">
        <f>IF('Cleaned Data'!D59="Airport", 1, 0)</f>
        <v>1</v>
      </c>
    </row>
    <row r="60" spans="1:8">
      <c r="A60" t="str">
        <f>'Cleaned Data'!A60</f>
        <v>STR-1015</v>
      </c>
      <c r="B60" s="3">
        <f>'Cleaned Data'!B60</f>
        <v>45717</v>
      </c>
      <c r="C60">
        <f>IF('Cleaned Data'!C60="West", 1, 0)</f>
        <v>0</v>
      </c>
      <c r="D60">
        <f>IF('Cleaned Data'!C60="North", 1, 0)</f>
        <v>0</v>
      </c>
      <c r="E60">
        <f>IF('Cleaned Data'!C60="South", 1, 0)</f>
        <v>0</v>
      </c>
      <c r="F60">
        <f>IF('Cleaned Data'!D60="High Street", 1, 0)</f>
        <v>0</v>
      </c>
      <c r="G60">
        <f>IF('Cleaned Data'!D60="Residential", 1, 0)</f>
        <v>0</v>
      </c>
      <c r="H60">
        <f>IF('Cleaned Data'!D60="Airport", 1, 0)</f>
        <v>1</v>
      </c>
    </row>
    <row r="61" spans="1:8">
      <c r="A61" t="str">
        <f>'Cleaned Data'!A61</f>
        <v>STR-1015</v>
      </c>
      <c r="B61" s="3">
        <f>'Cleaned Data'!B61</f>
        <v>45748</v>
      </c>
      <c r="C61">
        <f>IF('Cleaned Data'!C61="West", 1, 0)</f>
        <v>0</v>
      </c>
      <c r="D61">
        <f>IF('Cleaned Data'!C61="North", 1, 0)</f>
        <v>0</v>
      </c>
      <c r="E61">
        <f>IF('Cleaned Data'!C61="South", 1, 0)</f>
        <v>0</v>
      </c>
      <c r="F61">
        <f>IF('Cleaned Data'!D61="High Street", 1, 0)</f>
        <v>0</v>
      </c>
      <c r="G61">
        <f>IF('Cleaned Data'!D61="Residential", 1, 0)</f>
        <v>0</v>
      </c>
      <c r="H61">
        <f>IF('Cleaned Data'!D61="Airport", 1, 0)</f>
        <v>1</v>
      </c>
    </row>
    <row r="62" spans="1:8">
      <c r="A62" t="str">
        <f>'Cleaned Data'!A62</f>
        <v>STR-1016</v>
      </c>
      <c r="B62" s="3">
        <f>'Cleaned Data'!B62</f>
        <v>45658</v>
      </c>
      <c r="C62">
        <f>IF('Cleaned Data'!C62="West", 1, 0)</f>
        <v>0</v>
      </c>
      <c r="D62">
        <f>IF('Cleaned Data'!C62="North", 1, 0)</f>
        <v>0</v>
      </c>
      <c r="E62">
        <f>IF('Cleaned Data'!C62="South", 1, 0)</f>
        <v>1</v>
      </c>
      <c r="F62">
        <f>IF('Cleaned Data'!D62="High Street", 1, 0)</f>
        <v>1</v>
      </c>
      <c r="G62">
        <f>IF('Cleaned Data'!D62="Residential", 1, 0)</f>
        <v>0</v>
      </c>
      <c r="H62">
        <f>IF('Cleaned Data'!D62="Airport", 1, 0)</f>
        <v>0</v>
      </c>
    </row>
    <row r="63" spans="1:8">
      <c r="A63" t="str">
        <f>'Cleaned Data'!A63</f>
        <v>STR-1016</v>
      </c>
      <c r="B63" s="3">
        <f>'Cleaned Data'!B63</f>
        <v>45689</v>
      </c>
      <c r="C63">
        <f>IF('Cleaned Data'!C63="West", 1, 0)</f>
        <v>0</v>
      </c>
      <c r="D63">
        <f>IF('Cleaned Data'!C63="North", 1, 0)</f>
        <v>0</v>
      </c>
      <c r="E63">
        <f>IF('Cleaned Data'!C63="South", 1, 0)</f>
        <v>1</v>
      </c>
      <c r="F63">
        <f>IF('Cleaned Data'!D63="High Street", 1, 0)</f>
        <v>1</v>
      </c>
      <c r="G63">
        <f>IF('Cleaned Data'!D63="Residential", 1, 0)</f>
        <v>0</v>
      </c>
      <c r="H63">
        <f>IF('Cleaned Data'!D63="Airport", 1, 0)</f>
        <v>0</v>
      </c>
    </row>
    <row r="64" spans="1:8">
      <c r="A64" t="str">
        <f>'Cleaned Data'!A64</f>
        <v>STR-1016</v>
      </c>
      <c r="B64" s="3">
        <f>'Cleaned Data'!B64</f>
        <v>45717</v>
      </c>
      <c r="C64">
        <f>IF('Cleaned Data'!C64="West", 1, 0)</f>
        <v>0</v>
      </c>
      <c r="D64">
        <f>IF('Cleaned Data'!C64="North", 1, 0)</f>
        <v>0</v>
      </c>
      <c r="E64">
        <f>IF('Cleaned Data'!C64="South", 1, 0)</f>
        <v>1</v>
      </c>
      <c r="F64">
        <f>IF('Cleaned Data'!D64="High Street", 1, 0)</f>
        <v>1</v>
      </c>
      <c r="G64">
        <f>IF('Cleaned Data'!D64="Residential", 1, 0)</f>
        <v>0</v>
      </c>
      <c r="H64">
        <f>IF('Cleaned Data'!D64="Airport", 1, 0)</f>
        <v>0</v>
      </c>
    </row>
    <row r="65" spans="1:8">
      <c r="A65" t="str">
        <f>'Cleaned Data'!A65</f>
        <v>STR-1016</v>
      </c>
      <c r="B65" s="3">
        <f>'Cleaned Data'!B65</f>
        <v>45748</v>
      </c>
      <c r="C65">
        <f>IF('Cleaned Data'!C65="West", 1, 0)</f>
        <v>0</v>
      </c>
      <c r="D65">
        <f>IF('Cleaned Data'!C65="North", 1, 0)</f>
        <v>0</v>
      </c>
      <c r="E65">
        <f>IF('Cleaned Data'!C65="South", 1, 0)</f>
        <v>1</v>
      </c>
      <c r="F65">
        <f>IF('Cleaned Data'!D65="High Street", 1, 0)</f>
        <v>1</v>
      </c>
      <c r="G65">
        <f>IF('Cleaned Data'!D65="Residential", 1, 0)</f>
        <v>0</v>
      </c>
      <c r="H65">
        <f>IF('Cleaned Data'!D65="Airport", 1, 0)</f>
        <v>0</v>
      </c>
    </row>
    <row r="66" spans="1:8">
      <c r="A66" t="str">
        <f>'Cleaned Data'!A66</f>
        <v>STR-1017</v>
      </c>
      <c r="B66" s="3">
        <f>'Cleaned Data'!B66</f>
        <v>45658</v>
      </c>
      <c r="C66">
        <f>IF('Cleaned Data'!C66="West", 1, 0)</f>
        <v>1</v>
      </c>
      <c r="D66">
        <f>IF('Cleaned Data'!C66="North", 1, 0)</f>
        <v>0</v>
      </c>
      <c r="E66">
        <f>IF('Cleaned Data'!C66="South", 1, 0)</f>
        <v>0</v>
      </c>
      <c r="F66">
        <f>IF('Cleaned Data'!D66="High Street", 1, 0)</f>
        <v>1</v>
      </c>
      <c r="G66">
        <f>IF('Cleaned Data'!D66="Residential", 1, 0)</f>
        <v>0</v>
      </c>
      <c r="H66">
        <f>IF('Cleaned Data'!D66="Airport", 1, 0)</f>
        <v>0</v>
      </c>
    </row>
    <row r="67" spans="1:8">
      <c r="A67" t="str">
        <f>'Cleaned Data'!A67</f>
        <v>STR-1017</v>
      </c>
      <c r="B67" s="3">
        <f>'Cleaned Data'!B67</f>
        <v>45689</v>
      </c>
      <c r="C67">
        <f>IF('Cleaned Data'!C67="West", 1, 0)</f>
        <v>1</v>
      </c>
      <c r="D67">
        <f>IF('Cleaned Data'!C67="North", 1, 0)</f>
        <v>0</v>
      </c>
      <c r="E67">
        <f>IF('Cleaned Data'!C67="South", 1, 0)</f>
        <v>0</v>
      </c>
      <c r="F67">
        <f>IF('Cleaned Data'!D67="High Street", 1, 0)</f>
        <v>1</v>
      </c>
      <c r="G67">
        <f>IF('Cleaned Data'!D67="Residential", 1, 0)</f>
        <v>0</v>
      </c>
      <c r="H67">
        <f>IF('Cleaned Data'!D67="Airport", 1, 0)</f>
        <v>0</v>
      </c>
    </row>
    <row r="68" spans="1:8">
      <c r="A68" t="str">
        <f>'Cleaned Data'!A68</f>
        <v>STR-1017</v>
      </c>
      <c r="B68" s="3">
        <f>'Cleaned Data'!B68</f>
        <v>45717</v>
      </c>
      <c r="C68">
        <f>IF('Cleaned Data'!C68="West", 1, 0)</f>
        <v>1</v>
      </c>
      <c r="D68">
        <f>IF('Cleaned Data'!C68="North", 1, 0)</f>
        <v>0</v>
      </c>
      <c r="E68">
        <f>IF('Cleaned Data'!C68="South", 1, 0)</f>
        <v>0</v>
      </c>
      <c r="F68">
        <f>IF('Cleaned Data'!D68="High Street", 1, 0)</f>
        <v>1</v>
      </c>
      <c r="G68">
        <f>IF('Cleaned Data'!D68="Residential", 1, 0)</f>
        <v>0</v>
      </c>
      <c r="H68">
        <f>IF('Cleaned Data'!D68="Airport", 1, 0)</f>
        <v>0</v>
      </c>
    </row>
    <row r="69" spans="1:8">
      <c r="A69" t="str">
        <f>'Cleaned Data'!A69</f>
        <v>STR-1017</v>
      </c>
      <c r="B69" s="3">
        <f>'Cleaned Data'!B69</f>
        <v>45748</v>
      </c>
      <c r="C69">
        <f>IF('Cleaned Data'!C69="West", 1, 0)</f>
        <v>1</v>
      </c>
      <c r="D69">
        <f>IF('Cleaned Data'!C69="North", 1, 0)</f>
        <v>0</v>
      </c>
      <c r="E69">
        <f>IF('Cleaned Data'!C69="South", 1, 0)</f>
        <v>0</v>
      </c>
      <c r="F69">
        <f>IF('Cleaned Data'!D69="High Street", 1, 0)</f>
        <v>1</v>
      </c>
      <c r="G69">
        <f>IF('Cleaned Data'!D69="Residential", 1, 0)</f>
        <v>0</v>
      </c>
      <c r="H69">
        <f>IF('Cleaned Data'!D69="Airport", 1, 0)</f>
        <v>0</v>
      </c>
    </row>
    <row r="70" spans="1:8">
      <c r="A70" t="str">
        <f>'Cleaned Data'!A70</f>
        <v>STR-1018</v>
      </c>
      <c r="B70" s="3">
        <f>'Cleaned Data'!B70</f>
        <v>45658</v>
      </c>
      <c r="C70">
        <f>IF('Cleaned Data'!C70="West", 1, 0)</f>
        <v>0</v>
      </c>
      <c r="D70">
        <f>IF('Cleaned Data'!C70="North", 1, 0)</f>
        <v>0</v>
      </c>
      <c r="E70">
        <f>IF('Cleaned Data'!C70="South", 1, 0)</f>
        <v>0</v>
      </c>
      <c r="F70">
        <f>IF('Cleaned Data'!D70="High Street", 1, 0)</f>
        <v>1</v>
      </c>
      <c r="G70">
        <f>IF('Cleaned Data'!D70="Residential", 1, 0)</f>
        <v>0</v>
      </c>
      <c r="H70">
        <f>IF('Cleaned Data'!D70="Airport", 1, 0)</f>
        <v>0</v>
      </c>
    </row>
    <row r="71" spans="1:8">
      <c r="A71" t="str">
        <f>'Cleaned Data'!A71</f>
        <v>STR-1018</v>
      </c>
      <c r="B71" s="3">
        <f>'Cleaned Data'!B71</f>
        <v>45689</v>
      </c>
      <c r="C71">
        <f>IF('Cleaned Data'!C71="West", 1, 0)</f>
        <v>0</v>
      </c>
      <c r="D71">
        <f>IF('Cleaned Data'!C71="North", 1, 0)</f>
        <v>0</v>
      </c>
      <c r="E71">
        <f>IF('Cleaned Data'!C71="South", 1, 0)</f>
        <v>0</v>
      </c>
      <c r="F71">
        <f>IF('Cleaned Data'!D71="High Street", 1, 0)</f>
        <v>1</v>
      </c>
      <c r="G71">
        <f>IF('Cleaned Data'!D71="Residential", 1, 0)</f>
        <v>0</v>
      </c>
      <c r="H71">
        <f>IF('Cleaned Data'!D71="Airport", 1, 0)</f>
        <v>0</v>
      </c>
    </row>
    <row r="72" spans="1:8">
      <c r="A72" t="str">
        <f>'Cleaned Data'!A72</f>
        <v>STR-1018</v>
      </c>
      <c r="B72" s="3">
        <f>'Cleaned Data'!B72</f>
        <v>45717</v>
      </c>
      <c r="C72">
        <f>IF('Cleaned Data'!C72="West", 1, 0)</f>
        <v>0</v>
      </c>
      <c r="D72">
        <f>IF('Cleaned Data'!C72="North", 1, 0)</f>
        <v>0</v>
      </c>
      <c r="E72">
        <f>IF('Cleaned Data'!C72="South", 1, 0)</f>
        <v>0</v>
      </c>
      <c r="F72">
        <f>IF('Cleaned Data'!D72="High Street", 1, 0)</f>
        <v>1</v>
      </c>
      <c r="G72">
        <f>IF('Cleaned Data'!D72="Residential", 1, 0)</f>
        <v>0</v>
      </c>
      <c r="H72">
        <f>IF('Cleaned Data'!D72="Airport", 1, 0)</f>
        <v>0</v>
      </c>
    </row>
    <row r="73" spans="1:8">
      <c r="A73" t="str">
        <f>'Cleaned Data'!A73</f>
        <v>STR-1018</v>
      </c>
      <c r="B73" s="3">
        <f>'Cleaned Data'!B73</f>
        <v>45748</v>
      </c>
      <c r="C73">
        <f>IF('Cleaned Data'!C73="West", 1, 0)</f>
        <v>0</v>
      </c>
      <c r="D73">
        <f>IF('Cleaned Data'!C73="North", 1, 0)</f>
        <v>0</v>
      </c>
      <c r="E73">
        <f>IF('Cleaned Data'!C73="South", 1, 0)</f>
        <v>0</v>
      </c>
      <c r="F73">
        <f>IF('Cleaned Data'!D73="High Street", 1, 0)</f>
        <v>1</v>
      </c>
      <c r="G73">
        <f>IF('Cleaned Data'!D73="Residential", 1, 0)</f>
        <v>0</v>
      </c>
      <c r="H73">
        <f>IF('Cleaned Data'!D73="Airport", 1, 0)</f>
        <v>0</v>
      </c>
    </row>
    <row r="74" spans="1:8">
      <c r="A74" t="str">
        <f>'Cleaned Data'!A74</f>
        <v>STR-1019</v>
      </c>
      <c r="B74" s="3">
        <f>'Cleaned Data'!B74</f>
        <v>45658</v>
      </c>
      <c r="C74">
        <f>IF('Cleaned Data'!C74="West", 1, 0)</f>
        <v>0</v>
      </c>
      <c r="D74">
        <f>IF('Cleaned Data'!C74="North", 1, 0)</f>
        <v>0</v>
      </c>
      <c r="E74">
        <f>IF('Cleaned Data'!C74="South", 1, 0)</f>
        <v>0</v>
      </c>
      <c r="F74">
        <f>IF('Cleaned Data'!D74="High Street", 1, 0)</f>
        <v>0</v>
      </c>
      <c r="G74">
        <f>IF('Cleaned Data'!D74="Residential", 1, 0)</f>
        <v>1</v>
      </c>
      <c r="H74">
        <f>IF('Cleaned Data'!D74="Airport", 1, 0)</f>
        <v>0</v>
      </c>
    </row>
    <row r="75" spans="1:8">
      <c r="A75" t="str">
        <f>'Cleaned Data'!A75</f>
        <v>STR-1019</v>
      </c>
      <c r="B75" s="3">
        <f>'Cleaned Data'!B75</f>
        <v>45689</v>
      </c>
      <c r="C75">
        <f>IF('Cleaned Data'!C75="West", 1, 0)</f>
        <v>0</v>
      </c>
      <c r="D75">
        <f>IF('Cleaned Data'!C75="North", 1, 0)</f>
        <v>0</v>
      </c>
      <c r="E75">
        <f>IF('Cleaned Data'!C75="South", 1, 0)</f>
        <v>0</v>
      </c>
      <c r="F75">
        <f>IF('Cleaned Data'!D75="High Street", 1, 0)</f>
        <v>0</v>
      </c>
      <c r="G75">
        <f>IF('Cleaned Data'!D75="Residential", 1, 0)</f>
        <v>1</v>
      </c>
      <c r="H75">
        <f>IF('Cleaned Data'!D75="Airport", 1, 0)</f>
        <v>0</v>
      </c>
    </row>
    <row r="76" spans="1:8">
      <c r="A76" t="str">
        <f>'Cleaned Data'!A76</f>
        <v>STR-1019</v>
      </c>
      <c r="B76" s="3">
        <f>'Cleaned Data'!B76</f>
        <v>45717</v>
      </c>
      <c r="C76">
        <f>IF('Cleaned Data'!C76="West", 1, 0)</f>
        <v>0</v>
      </c>
      <c r="D76">
        <f>IF('Cleaned Data'!C76="North", 1, 0)</f>
        <v>0</v>
      </c>
      <c r="E76">
        <f>IF('Cleaned Data'!C76="South", 1, 0)</f>
        <v>0</v>
      </c>
      <c r="F76">
        <f>IF('Cleaned Data'!D76="High Street", 1, 0)</f>
        <v>0</v>
      </c>
      <c r="G76">
        <f>IF('Cleaned Data'!D76="Residential", 1, 0)</f>
        <v>1</v>
      </c>
      <c r="H76">
        <f>IF('Cleaned Data'!D76="Airport", 1, 0)</f>
        <v>0</v>
      </c>
    </row>
    <row r="77" spans="1:8">
      <c r="A77" t="str">
        <f>'Cleaned Data'!A77</f>
        <v>STR-1019</v>
      </c>
      <c r="B77" s="3">
        <f>'Cleaned Data'!B77</f>
        <v>45748</v>
      </c>
      <c r="C77">
        <f>IF('Cleaned Data'!C77="West", 1, 0)</f>
        <v>0</v>
      </c>
      <c r="D77">
        <f>IF('Cleaned Data'!C77="North", 1, 0)</f>
        <v>0</v>
      </c>
      <c r="E77">
        <f>IF('Cleaned Data'!C77="South", 1, 0)</f>
        <v>0</v>
      </c>
      <c r="F77">
        <f>IF('Cleaned Data'!D77="High Street", 1, 0)</f>
        <v>0</v>
      </c>
      <c r="G77">
        <f>IF('Cleaned Data'!D77="Residential", 1, 0)</f>
        <v>1</v>
      </c>
      <c r="H77">
        <f>IF('Cleaned Data'!D77="Airport", 1, 0)</f>
        <v>0</v>
      </c>
    </row>
    <row r="78" spans="1:8">
      <c r="A78" t="str">
        <f>'Cleaned Data'!A78</f>
        <v>STR-1020</v>
      </c>
      <c r="B78" s="3">
        <f>'Cleaned Data'!B78</f>
        <v>45658</v>
      </c>
      <c r="C78">
        <f>IF('Cleaned Data'!C78="West", 1, 0)</f>
        <v>0</v>
      </c>
      <c r="D78">
        <f>IF('Cleaned Data'!C78="North", 1, 0)</f>
        <v>0</v>
      </c>
      <c r="E78">
        <f>IF('Cleaned Data'!C78="South", 1, 0)</f>
        <v>1</v>
      </c>
      <c r="F78">
        <f>IF('Cleaned Data'!D78="High Street", 1, 0)</f>
        <v>1</v>
      </c>
      <c r="G78">
        <f>IF('Cleaned Data'!D78="Residential", 1, 0)</f>
        <v>0</v>
      </c>
      <c r="H78">
        <f>IF('Cleaned Data'!D78="Airport", 1, 0)</f>
        <v>0</v>
      </c>
    </row>
    <row r="79" spans="1:8">
      <c r="A79" t="str">
        <f>'Cleaned Data'!A79</f>
        <v>STR-1020</v>
      </c>
      <c r="B79" s="3">
        <f>'Cleaned Data'!B79</f>
        <v>45689</v>
      </c>
      <c r="C79">
        <f>IF('Cleaned Data'!C79="West", 1, 0)</f>
        <v>0</v>
      </c>
      <c r="D79">
        <f>IF('Cleaned Data'!C79="North", 1, 0)</f>
        <v>0</v>
      </c>
      <c r="E79">
        <f>IF('Cleaned Data'!C79="South", 1, 0)</f>
        <v>1</v>
      </c>
      <c r="F79">
        <f>IF('Cleaned Data'!D79="High Street", 1, 0)</f>
        <v>1</v>
      </c>
      <c r="G79">
        <f>IF('Cleaned Data'!D79="Residential", 1, 0)</f>
        <v>0</v>
      </c>
      <c r="H79">
        <f>IF('Cleaned Data'!D79="Airport", 1, 0)</f>
        <v>0</v>
      </c>
    </row>
    <row r="80" spans="1:8">
      <c r="A80" t="str">
        <f>'Cleaned Data'!A80</f>
        <v>STR-1020</v>
      </c>
      <c r="B80" s="3">
        <f>'Cleaned Data'!B80</f>
        <v>45717</v>
      </c>
      <c r="C80">
        <f>IF('Cleaned Data'!C80="West", 1, 0)</f>
        <v>0</v>
      </c>
      <c r="D80">
        <f>IF('Cleaned Data'!C80="North", 1, 0)</f>
        <v>0</v>
      </c>
      <c r="E80">
        <f>IF('Cleaned Data'!C80="South", 1, 0)</f>
        <v>1</v>
      </c>
      <c r="F80">
        <f>IF('Cleaned Data'!D80="High Street", 1, 0)</f>
        <v>1</v>
      </c>
      <c r="G80">
        <f>IF('Cleaned Data'!D80="Residential", 1, 0)</f>
        <v>0</v>
      </c>
      <c r="H80">
        <f>IF('Cleaned Data'!D80="Airport", 1, 0)</f>
        <v>0</v>
      </c>
    </row>
    <row r="81" spans="1:8">
      <c r="A81" t="str">
        <f>'Cleaned Data'!A81</f>
        <v>STR-1020</v>
      </c>
      <c r="B81" s="3">
        <f>'Cleaned Data'!B81</f>
        <v>45748</v>
      </c>
      <c r="C81">
        <f>IF('Cleaned Data'!C81="West", 1, 0)</f>
        <v>0</v>
      </c>
      <c r="D81">
        <f>IF('Cleaned Data'!C81="North", 1, 0)</f>
        <v>0</v>
      </c>
      <c r="E81">
        <f>IF('Cleaned Data'!C81="South", 1, 0)</f>
        <v>1</v>
      </c>
      <c r="F81">
        <f>IF('Cleaned Data'!D81="High Street", 1, 0)</f>
        <v>1</v>
      </c>
      <c r="G81">
        <f>IF('Cleaned Data'!D81="Residential", 1, 0)</f>
        <v>0</v>
      </c>
      <c r="H81">
        <f>IF('Cleaned Data'!D81="Airport", 1, 0)</f>
        <v>0</v>
      </c>
    </row>
    <row r="82" spans="1:8">
      <c r="A82" t="str">
        <f>'Cleaned Data'!A82</f>
        <v>STR-1021</v>
      </c>
      <c r="B82" s="3">
        <f>'Cleaned Data'!B82</f>
        <v>45658</v>
      </c>
      <c r="C82">
        <f>IF('Cleaned Data'!C82="West", 1, 0)</f>
        <v>1</v>
      </c>
      <c r="D82">
        <f>IF('Cleaned Data'!C82="North", 1, 0)</f>
        <v>0</v>
      </c>
      <c r="E82">
        <f>IF('Cleaned Data'!C82="South", 1, 0)</f>
        <v>0</v>
      </c>
      <c r="F82">
        <f>IF('Cleaned Data'!D82="High Street", 1, 0)</f>
        <v>0</v>
      </c>
      <c r="G82">
        <f>IF('Cleaned Data'!D82="Residential", 1, 0)</f>
        <v>0</v>
      </c>
      <c r="H82">
        <f>IF('Cleaned Data'!D82="Airport", 1, 0)</f>
        <v>0</v>
      </c>
    </row>
    <row r="83" spans="1:8">
      <c r="A83" t="str">
        <f>'Cleaned Data'!A83</f>
        <v>STR-1021</v>
      </c>
      <c r="B83" s="3">
        <f>'Cleaned Data'!B83</f>
        <v>45689</v>
      </c>
      <c r="C83">
        <f>IF('Cleaned Data'!C83="West", 1, 0)</f>
        <v>1</v>
      </c>
      <c r="D83">
        <f>IF('Cleaned Data'!C83="North", 1, 0)</f>
        <v>0</v>
      </c>
      <c r="E83">
        <f>IF('Cleaned Data'!C83="South", 1, 0)</f>
        <v>0</v>
      </c>
      <c r="F83">
        <f>IF('Cleaned Data'!D83="High Street", 1, 0)</f>
        <v>0</v>
      </c>
      <c r="G83">
        <f>IF('Cleaned Data'!D83="Residential", 1, 0)</f>
        <v>0</v>
      </c>
      <c r="H83">
        <f>IF('Cleaned Data'!D83="Airport", 1, 0)</f>
        <v>0</v>
      </c>
    </row>
    <row r="84" spans="1:8">
      <c r="A84" t="str">
        <f>'Cleaned Data'!A84</f>
        <v>STR-1021</v>
      </c>
      <c r="B84" s="3">
        <f>'Cleaned Data'!B84</f>
        <v>45717</v>
      </c>
      <c r="C84">
        <f>IF('Cleaned Data'!C84="West", 1, 0)</f>
        <v>1</v>
      </c>
      <c r="D84">
        <f>IF('Cleaned Data'!C84="North", 1, 0)</f>
        <v>0</v>
      </c>
      <c r="E84">
        <f>IF('Cleaned Data'!C84="South", 1, 0)</f>
        <v>0</v>
      </c>
      <c r="F84">
        <f>IF('Cleaned Data'!D84="High Street", 1, 0)</f>
        <v>0</v>
      </c>
      <c r="G84">
        <f>IF('Cleaned Data'!D84="Residential", 1, 0)</f>
        <v>0</v>
      </c>
      <c r="H84">
        <f>IF('Cleaned Data'!D84="Airport", 1, 0)</f>
        <v>0</v>
      </c>
    </row>
    <row r="85" spans="1:8">
      <c r="A85" t="str">
        <f>'Cleaned Data'!A85</f>
        <v>STR-1021</v>
      </c>
      <c r="B85" s="3">
        <f>'Cleaned Data'!B85</f>
        <v>45748</v>
      </c>
      <c r="C85">
        <f>IF('Cleaned Data'!C85="West", 1, 0)</f>
        <v>1</v>
      </c>
      <c r="D85">
        <f>IF('Cleaned Data'!C85="North", 1, 0)</f>
        <v>0</v>
      </c>
      <c r="E85">
        <f>IF('Cleaned Data'!C85="South", 1, 0)</f>
        <v>0</v>
      </c>
      <c r="F85">
        <f>IF('Cleaned Data'!D85="High Street", 1, 0)</f>
        <v>0</v>
      </c>
      <c r="G85">
        <f>IF('Cleaned Data'!D85="Residential", 1, 0)</f>
        <v>0</v>
      </c>
      <c r="H85">
        <f>IF('Cleaned Data'!D85="Airport", 1, 0)</f>
        <v>0</v>
      </c>
    </row>
    <row r="86" spans="1:8">
      <c r="A86" t="str">
        <f>'Cleaned Data'!A86</f>
        <v>STR-1022</v>
      </c>
      <c r="B86" s="3">
        <f>'Cleaned Data'!B86</f>
        <v>45658</v>
      </c>
      <c r="C86">
        <f>IF('Cleaned Data'!C86="West", 1, 0)</f>
        <v>1</v>
      </c>
      <c r="D86">
        <f>IF('Cleaned Data'!C86="North", 1, 0)</f>
        <v>0</v>
      </c>
      <c r="E86">
        <f>IF('Cleaned Data'!C86="South", 1, 0)</f>
        <v>0</v>
      </c>
      <c r="F86">
        <f>IF('Cleaned Data'!D86="High Street", 1, 0)</f>
        <v>1</v>
      </c>
      <c r="G86">
        <f>IF('Cleaned Data'!D86="Residential", 1, 0)</f>
        <v>0</v>
      </c>
      <c r="H86">
        <f>IF('Cleaned Data'!D86="Airport", 1, 0)</f>
        <v>0</v>
      </c>
    </row>
    <row r="87" spans="1:8">
      <c r="A87" t="str">
        <f>'Cleaned Data'!A87</f>
        <v>STR-1022</v>
      </c>
      <c r="B87" s="3">
        <f>'Cleaned Data'!B87</f>
        <v>45689</v>
      </c>
      <c r="C87">
        <f>IF('Cleaned Data'!C87="West", 1, 0)</f>
        <v>1</v>
      </c>
      <c r="D87">
        <f>IF('Cleaned Data'!C87="North", 1, 0)</f>
        <v>0</v>
      </c>
      <c r="E87">
        <f>IF('Cleaned Data'!C87="South", 1, 0)</f>
        <v>0</v>
      </c>
      <c r="F87">
        <f>IF('Cleaned Data'!D87="High Street", 1, 0)</f>
        <v>1</v>
      </c>
      <c r="G87">
        <f>IF('Cleaned Data'!D87="Residential", 1, 0)</f>
        <v>0</v>
      </c>
      <c r="H87">
        <f>IF('Cleaned Data'!D87="Airport", 1, 0)</f>
        <v>0</v>
      </c>
    </row>
    <row r="88" spans="1:8">
      <c r="A88" t="str">
        <f>'Cleaned Data'!A88</f>
        <v>STR-1022</v>
      </c>
      <c r="B88" s="3">
        <f>'Cleaned Data'!B88</f>
        <v>45717</v>
      </c>
      <c r="C88">
        <f>IF('Cleaned Data'!C88="West", 1, 0)</f>
        <v>1</v>
      </c>
      <c r="D88">
        <f>IF('Cleaned Data'!C88="North", 1, 0)</f>
        <v>0</v>
      </c>
      <c r="E88">
        <f>IF('Cleaned Data'!C88="South", 1, 0)</f>
        <v>0</v>
      </c>
      <c r="F88">
        <f>IF('Cleaned Data'!D88="High Street", 1, 0)</f>
        <v>1</v>
      </c>
      <c r="G88">
        <f>IF('Cleaned Data'!D88="Residential", 1, 0)</f>
        <v>0</v>
      </c>
      <c r="H88">
        <f>IF('Cleaned Data'!D88="Airport", 1, 0)</f>
        <v>0</v>
      </c>
    </row>
    <row r="89" spans="1:8">
      <c r="A89" t="str">
        <f>'Cleaned Data'!A89</f>
        <v>STR-1022</v>
      </c>
      <c r="B89" s="3">
        <f>'Cleaned Data'!B89</f>
        <v>45748</v>
      </c>
      <c r="C89">
        <f>IF('Cleaned Data'!C89="West", 1, 0)</f>
        <v>1</v>
      </c>
      <c r="D89">
        <f>IF('Cleaned Data'!C89="North", 1, 0)</f>
        <v>0</v>
      </c>
      <c r="E89">
        <f>IF('Cleaned Data'!C89="South", 1, 0)</f>
        <v>0</v>
      </c>
      <c r="F89">
        <f>IF('Cleaned Data'!D89="High Street", 1, 0)</f>
        <v>1</v>
      </c>
      <c r="G89">
        <f>IF('Cleaned Data'!D89="Residential", 1, 0)</f>
        <v>0</v>
      </c>
      <c r="H89">
        <f>IF('Cleaned Data'!D89="Airport", 1, 0)</f>
        <v>0</v>
      </c>
    </row>
    <row r="90" spans="1:8">
      <c r="A90" t="str">
        <f>'Cleaned Data'!A90</f>
        <v>STR-1023</v>
      </c>
      <c r="B90" s="3">
        <f>'Cleaned Data'!B90</f>
        <v>45658</v>
      </c>
      <c r="C90">
        <f>IF('Cleaned Data'!C90="West", 1, 0)</f>
        <v>0</v>
      </c>
      <c r="D90">
        <f>IF('Cleaned Data'!C90="North", 1, 0)</f>
        <v>0</v>
      </c>
      <c r="E90">
        <f>IF('Cleaned Data'!C90="South", 1, 0)</f>
        <v>1</v>
      </c>
      <c r="F90">
        <f>IF('Cleaned Data'!D90="High Street", 1, 0)</f>
        <v>0</v>
      </c>
      <c r="G90">
        <f>IF('Cleaned Data'!D90="Residential", 1, 0)</f>
        <v>0</v>
      </c>
      <c r="H90">
        <f>IF('Cleaned Data'!D90="Airport", 1, 0)</f>
        <v>0</v>
      </c>
    </row>
    <row r="91" spans="1:8">
      <c r="A91" t="str">
        <f>'Cleaned Data'!A91</f>
        <v>STR-1023</v>
      </c>
      <c r="B91" s="3">
        <f>'Cleaned Data'!B91</f>
        <v>45689</v>
      </c>
      <c r="C91">
        <f>IF('Cleaned Data'!C91="West", 1, 0)</f>
        <v>0</v>
      </c>
      <c r="D91">
        <f>IF('Cleaned Data'!C91="North", 1, 0)</f>
        <v>0</v>
      </c>
      <c r="E91">
        <f>IF('Cleaned Data'!C91="South", 1, 0)</f>
        <v>1</v>
      </c>
      <c r="F91">
        <f>IF('Cleaned Data'!D91="High Street", 1, 0)</f>
        <v>0</v>
      </c>
      <c r="G91">
        <f>IF('Cleaned Data'!D91="Residential", 1, 0)</f>
        <v>0</v>
      </c>
      <c r="H91">
        <f>IF('Cleaned Data'!D91="Airport", 1, 0)</f>
        <v>0</v>
      </c>
    </row>
    <row r="92" spans="1:8">
      <c r="A92" t="str">
        <f>'Cleaned Data'!A92</f>
        <v>STR-1023</v>
      </c>
      <c r="B92" s="3">
        <f>'Cleaned Data'!B92</f>
        <v>45717</v>
      </c>
      <c r="C92">
        <f>IF('Cleaned Data'!C92="West", 1, 0)</f>
        <v>0</v>
      </c>
      <c r="D92">
        <f>IF('Cleaned Data'!C92="North", 1, 0)</f>
        <v>0</v>
      </c>
      <c r="E92">
        <f>IF('Cleaned Data'!C92="South", 1, 0)</f>
        <v>1</v>
      </c>
      <c r="F92">
        <f>IF('Cleaned Data'!D92="High Street", 1, 0)</f>
        <v>0</v>
      </c>
      <c r="G92">
        <f>IF('Cleaned Data'!D92="Residential", 1, 0)</f>
        <v>0</v>
      </c>
      <c r="H92">
        <f>IF('Cleaned Data'!D92="Airport", 1, 0)</f>
        <v>0</v>
      </c>
    </row>
    <row r="93" spans="1:8">
      <c r="A93" t="str">
        <f>'Cleaned Data'!A93</f>
        <v>STR-1023</v>
      </c>
      <c r="B93" s="3">
        <f>'Cleaned Data'!B93</f>
        <v>45748</v>
      </c>
      <c r="C93">
        <f>IF('Cleaned Data'!C93="West", 1, 0)</f>
        <v>0</v>
      </c>
      <c r="D93">
        <f>IF('Cleaned Data'!C93="North", 1, 0)</f>
        <v>0</v>
      </c>
      <c r="E93">
        <f>IF('Cleaned Data'!C93="South", 1, 0)</f>
        <v>1</v>
      </c>
      <c r="F93">
        <f>IF('Cleaned Data'!D93="High Street", 1, 0)</f>
        <v>0</v>
      </c>
      <c r="G93">
        <f>IF('Cleaned Data'!D93="Residential", 1, 0)</f>
        <v>0</v>
      </c>
      <c r="H93">
        <f>IF('Cleaned Data'!D93="Airport", 1, 0)</f>
        <v>0</v>
      </c>
    </row>
    <row r="94" spans="1:8">
      <c r="A94" t="str">
        <f>'Cleaned Data'!A94</f>
        <v>STR-1024</v>
      </c>
      <c r="B94" s="3">
        <f>'Cleaned Data'!B94</f>
        <v>45658</v>
      </c>
      <c r="C94">
        <f>IF('Cleaned Data'!C94="West", 1, 0)</f>
        <v>1</v>
      </c>
      <c r="D94">
        <f>IF('Cleaned Data'!C94="North", 1, 0)</f>
        <v>0</v>
      </c>
      <c r="E94">
        <f>IF('Cleaned Data'!C94="South", 1, 0)</f>
        <v>0</v>
      </c>
      <c r="F94">
        <f>IF('Cleaned Data'!D94="High Street", 1, 0)</f>
        <v>0</v>
      </c>
      <c r="G94">
        <f>IF('Cleaned Data'!D94="Residential", 1, 0)</f>
        <v>1</v>
      </c>
      <c r="H94">
        <f>IF('Cleaned Data'!D94="Airport", 1, 0)</f>
        <v>0</v>
      </c>
    </row>
    <row r="95" spans="1:8">
      <c r="A95" t="str">
        <f>'Cleaned Data'!A95</f>
        <v>STR-1024</v>
      </c>
      <c r="B95" s="3">
        <f>'Cleaned Data'!B95</f>
        <v>45689</v>
      </c>
      <c r="C95">
        <f>IF('Cleaned Data'!C95="West", 1, 0)</f>
        <v>1</v>
      </c>
      <c r="D95">
        <f>IF('Cleaned Data'!C95="North", 1, 0)</f>
        <v>0</v>
      </c>
      <c r="E95">
        <f>IF('Cleaned Data'!C95="South", 1, 0)</f>
        <v>0</v>
      </c>
      <c r="F95">
        <f>IF('Cleaned Data'!D95="High Street", 1, 0)</f>
        <v>0</v>
      </c>
      <c r="G95">
        <f>IF('Cleaned Data'!D95="Residential", 1, 0)</f>
        <v>1</v>
      </c>
      <c r="H95">
        <f>IF('Cleaned Data'!D95="Airport", 1, 0)</f>
        <v>0</v>
      </c>
    </row>
    <row r="96" spans="1:8">
      <c r="A96" t="str">
        <f>'Cleaned Data'!A96</f>
        <v>STR-1024</v>
      </c>
      <c r="B96" s="3">
        <f>'Cleaned Data'!B96</f>
        <v>45717</v>
      </c>
      <c r="C96">
        <f>IF('Cleaned Data'!C96="West", 1, 0)</f>
        <v>1</v>
      </c>
      <c r="D96">
        <f>IF('Cleaned Data'!C96="North", 1, 0)</f>
        <v>0</v>
      </c>
      <c r="E96">
        <f>IF('Cleaned Data'!C96="South", 1, 0)</f>
        <v>0</v>
      </c>
      <c r="F96">
        <f>IF('Cleaned Data'!D96="High Street", 1, 0)</f>
        <v>0</v>
      </c>
      <c r="G96">
        <f>IF('Cleaned Data'!D96="Residential", 1, 0)</f>
        <v>1</v>
      </c>
      <c r="H96">
        <f>IF('Cleaned Data'!D96="Airport", 1, 0)</f>
        <v>0</v>
      </c>
    </row>
    <row r="97" spans="1:8">
      <c r="A97" t="str">
        <f>'Cleaned Data'!A97</f>
        <v>STR-1024</v>
      </c>
      <c r="B97" s="3">
        <f>'Cleaned Data'!B97</f>
        <v>45748</v>
      </c>
      <c r="C97">
        <f>IF('Cleaned Data'!C97="West", 1, 0)</f>
        <v>1</v>
      </c>
      <c r="D97">
        <f>IF('Cleaned Data'!C97="North", 1, 0)</f>
        <v>0</v>
      </c>
      <c r="E97">
        <f>IF('Cleaned Data'!C97="South", 1, 0)</f>
        <v>0</v>
      </c>
      <c r="F97">
        <f>IF('Cleaned Data'!D97="High Street", 1, 0)</f>
        <v>0</v>
      </c>
      <c r="G97">
        <f>IF('Cleaned Data'!D97="Residential", 1, 0)</f>
        <v>1</v>
      </c>
      <c r="H97">
        <f>IF('Cleaned Data'!D97="Airport", 1, 0)</f>
        <v>0</v>
      </c>
    </row>
    <row r="98" spans="1:8">
      <c r="A98" t="str">
        <f>'Cleaned Data'!A98</f>
        <v>STR-1025</v>
      </c>
      <c r="B98" s="3">
        <f>'Cleaned Data'!B98</f>
        <v>45658</v>
      </c>
      <c r="C98">
        <f>IF('Cleaned Data'!C98="West", 1, 0)</f>
        <v>1</v>
      </c>
      <c r="D98">
        <f>IF('Cleaned Data'!C98="North", 1, 0)</f>
        <v>0</v>
      </c>
      <c r="E98">
        <f>IF('Cleaned Data'!C98="South", 1, 0)</f>
        <v>0</v>
      </c>
      <c r="F98">
        <f>IF('Cleaned Data'!D98="High Street", 1, 0)</f>
        <v>0</v>
      </c>
      <c r="G98">
        <f>IF('Cleaned Data'!D98="Residential", 1, 0)</f>
        <v>0</v>
      </c>
      <c r="H98">
        <f>IF('Cleaned Data'!D98="Airport", 1, 0)</f>
        <v>0</v>
      </c>
    </row>
    <row r="99" spans="1:8">
      <c r="A99" t="str">
        <f>'Cleaned Data'!A99</f>
        <v>STR-1025</v>
      </c>
      <c r="B99" s="3">
        <f>'Cleaned Data'!B99</f>
        <v>45689</v>
      </c>
      <c r="C99">
        <f>IF('Cleaned Data'!C99="West", 1, 0)</f>
        <v>1</v>
      </c>
      <c r="D99">
        <f>IF('Cleaned Data'!C99="North", 1, 0)</f>
        <v>0</v>
      </c>
      <c r="E99">
        <f>IF('Cleaned Data'!C99="South", 1, 0)</f>
        <v>0</v>
      </c>
      <c r="F99">
        <f>IF('Cleaned Data'!D99="High Street", 1, 0)</f>
        <v>0</v>
      </c>
      <c r="G99">
        <f>IF('Cleaned Data'!D99="Residential", 1, 0)</f>
        <v>0</v>
      </c>
      <c r="H99">
        <f>IF('Cleaned Data'!D99="Airport", 1, 0)</f>
        <v>0</v>
      </c>
    </row>
    <row r="100" spans="1:8">
      <c r="A100" t="str">
        <f>'Cleaned Data'!A100</f>
        <v>STR-1025</v>
      </c>
      <c r="B100" s="3">
        <f>'Cleaned Data'!B100</f>
        <v>45717</v>
      </c>
      <c r="C100">
        <f>IF('Cleaned Data'!C100="West", 1, 0)</f>
        <v>1</v>
      </c>
      <c r="D100">
        <f>IF('Cleaned Data'!C100="North", 1, 0)</f>
        <v>0</v>
      </c>
      <c r="E100">
        <f>IF('Cleaned Data'!C100="South", 1, 0)</f>
        <v>0</v>
      </c>
      <c r="F100">
        <f>IF('Cleaned Data'!D100="High Street", 1, 0)</f>
        <v>0</v>
      </c>
      <c r="G100">
        <f>IF('Cleaned Data'!D100="Residential", 1, 0)</f>
        <v>0</v>
      </c>
      <c r="H100">
        <f>IF('Cleaned Data'!D100="Airport", 1, 0)</f>
        <v>0</v>
      </c>
    </row>
    <row r="101" spans="1:8">
      <c r="A101" t="str">
        <f>'Cleaned Data'!A101</f>
        <v>STR-1025</v>
      </c>
      <c r="B101" s="3">
        <f>'Cleaned Data'!B101</f>
        <v>45748</v>
      </c>
      <c r="C101">
        <f>IF('Cleaned Data'!C101="West", 1, 0)</f>
        <v>1</v>
      </c>
      <c r="D101">
        <f>IF('Cleaned Data'!C101="North", 1, 0)</f>
        <v>0</v>
      </c>
      <c r="E101">
        <f>IF('Cleaned Data'!C101="South", 1, 0)</f>
        <v>0</v>
      </c>
      <c r="F101">
        <f>IF('Cleaned Data'!D101="High Street", 1, 0)</f>
        <v>0</v>
      </c>
      <c r="G101">
        <f>IF('Cleaned Data'!D101="Residential", 1, 0)</f>
        <v>0</v>
      </c>
      <c r="H101">
        <f>IF('Cleaned Data'!D101="Airport", 1, 0)</f>
        <v>0</v>
      </c>
    </row>
    <row r="102" spans="1:8">
      <c r="A102" t="str">
        <f>'Cleaned Data'!A102</f>
        <v>STR-1026</v>
      </c>
      <c r="B102" s="3">
        <f>'Cleaned Data'!B102</f>
        <v>45658</v>
      </c>
      <c r="C102">
        <f>IF('Cleaned Data'!C102="West", 1, 0)</f>
        <v>0</v>
      </c>
      <c r="D102">
        <f>IF('Cleaned Data'!C102="North", 1, 0)</f>
        <v>0</v>
      </c>
      <c r="E102">
        <f>IF('Cleaned Data'!C102="South", 1, 0)</f>
        <v>0</v>
      </c>
      <c r="F102">
        <f>IF('Cleaned Data'!D102="High Street", 1, 0)</f>
        <v>0</v>
      </c>
      <c r="G102">
        <f>IF('Cleaned Data'!D102="Residential", 1, 0)</f>
        <v>0</v>
      </c>
      <c r="H102">
        <f>IF('Cleaned Data'!D102="Airport", 1, 0)</f>
        <v>0</v>
      </c>
    </row>
    <row r="103" spans="1:8">
      <c r="A103" t="str">
        <f>'Cleaned Data'!A103</f>
        <v>STR-1026</v>
      </c>
      <c r="B103" s="3">
        <f>'Cleaned Data'!B103</f>
        <v>45689</v>
      </c>
      <c r="C103">
        <f>IF('Cleaned Data'!C103="West", 1, 0)</f>
        <v>0</v>
      </c>
      <c r="D103">
        <f>IF('Cleaned Data'!C103="North", 1, 0)</f>
        <v>0</v>
      </c>
      <c r="E103">
        <f>IF('Cleaned Data'!C103="South", 1, 0)</f>
        <v>0</v>
      </c>
      <c r="F103">
        <f>IF('Cleaned Data'!D103="High Street", 1, 0)</f>
        <v>0</v>
      </c>
      <c r="G103">
        <f>IF('Cleaned Data'!D103="Residential", 1, 0)</f>
        <v>0</v>
      </c>
      <c r="H103">
        <f>IF('Cleaned Data'!D103="Airport", 1, 0)</f>
        <v>0</v>
      </c>
    </row>
    <row r="104" spans="1:8">
      <c r="A104" t="str">
        <f>'Cleaned Data'!A104</f>
        <v>STR-1026</v>
      </c>
      <c r="B104" s="3">
        <f>'Cleaned Data'!B104</f>
        <v>45717</v>
      </c>
      <c r="C104">
        <f>IF('Cleaned Data'!C104="West", 1, 0)</f>
        <v>0</v>
      </c>
      <c r="D104">
        <f>IF('Cleaned Data'!C104="North", 1, 0)</f>
        <v>0</v>
      </c>
      <c r="E104">
        <f>IF('Cleaned Data'!C104="South", 1, 0)</f>
        <v>0</v>
      </c>
      <c r="F104">
        <f>IF('Cleaned Data'!D104="High Street", 1, 0)</f>
        <v>0</v>
      </c>
      <c r="G104">
        <f>IF('Cleaned Data'!D104="Residential", 1, 0)</f>
        <v>0</v>
      </c>
      <c r="H104">
        <f>IF('Cleaned Data'!D104="Airport", 1, 0)</f>
        <v>0</v>
      </c>
    </row>
    <row r="105" spans="1:8">
      <c r="A105" t="str">
        <f>'Cleaned Data'!A105</f>
        <v>STR-1026</v>
      </c>
      <c r="B105" s="3">
        <f>'Cleaned Data'!B105</f>
        <v>45748</v>
      </c>
      <c r="C105">
        <f>IF('Cleaned Data'!C105="West", 1, 0)</f>
        <v>0</v>
      </c>
      <c r="D105">
        <f>IF('Cleaned Data'!C105="North", 1, 0)</f>
        <v>0</v>
      </c>
      <c r="E105">
        <f>IF('Cleaned Data'!C105="South", 1, 0)</f>
        <v>0</v>
      </c>
      <c r="F105">
        <f>IF('Cleaned Data'!D105="High Street", 1, 0)</f>
        <v>0</v>
      </c>
      <c r="G105">
        <f>IF('Cleaned Data'!D105="Residential", 1, 0)</f>
        <v>0</v>
      </c>
      <c r="H105">
        <f>IF('Cleaned Data'!D105="Airport", 1, 0)</f>
        <v>0</v>
      </c>
    </row>
    <row r="106" spans="1:8">
      <c r="A106" t="str">
        <f>'Cleaned Data'!A106</f>
        <v>STR-1027</v>
      </c>
      <c r="B106" s="3">
        <f>'Cleaned Data'!B106</f>
        <v>45658</v>
      </c>
      <c r="C106">
        <f>IF('Cleaned Data'!C106="West", 1, 0)</f>
        <v>1</v>
      </c>
      <c r="D106">
        <f>IF('Cleaned Data'!C106="North", 1, 0)</f>
        <v>0</v>
      </c>
      <c r="E106">
        <f>IF('Cleaned Data'!C106="South", 1, 0)</f>
        <v>0</v>
      </c>
      <c r="F106">
        <f>IF('Cleaned Data'!D106="High Street", 1, 0)</f>
        <v>1</v>
      </c>
      <c r="G106">
        <f>IF('Cleaned Data'!D106="Residential", 1, 0)</f>
        <v>0</v>
      </c>
      <c r="H106">
        <f>IF('Cleaned Data'!D106="Airport", 1, 0)</f>
        <v>0</v>
      </c>
    </row>
    <row r="107" spans="1:8">
      <c r="A107" t="str">
        <f>'Cleaned Data'!A107</f>
        <v>STR-1027</v>
      </c>
      <c r="B107" s="3">
        <f>'Cleaned Data'!B107</f>
        <v>45689</v>
      </c>
      <c r="C107">
        <f>IF('Cleaned Data'!C107="West", 1, 0)</f>
        <v>1</v>
      </c>
      <c r="D107">
        <f>IF('Cleaned Data'!C107="North", 1, 0)</f>
        <v>0</v>
      </c>
      <c r="E107">
        <f>IF('Cleaned Data'!C107="South", 1, 0)</f>
        <v>0</v>
      </c>
      <c r="F107">
        <f>IF('Cleaned Data'!D107="High Street", 1, 0)</f>
        <v>1</v>
      </c>
      <c r="G107">
        <f>IF('Cleaned Data'!D107="Residential", 1, 0)</f>
        <v>0</v>
      </c>
      <c r="H107">
        <f>IF('Cleaned Data'!D107="Airport", 1, 0)</f>
        <v>0</v>
      </c>
    </row>
    <row r="108" spans="1:8">
      <c r="A108" t="str">
        <f>'Cleaned Data'!A108</f>
        <v>STR-1027</v>
      </c>
      <c r="B108" s="3">
        <f>'Cleaned Data'!B108</f>
        <v>45717</v>
      </c>
      <c r="C108">
        <f>IF('Cleaned Data'!C108="West", 1, 0)</f>
        <v>1</v>
      </c>
      <c r="D108">
        <f>IF('Cleaned Data'!C108="North", 1, 0)</f>
        <v>0</v>
      </c>
      <c r="E108">
        <f>IF('Cleaned Data'!C108="South", 1, 0)</f>
        <v>0</v>
      </c>
      <c r="F108">
        <f>IF('Cleaned Data'!D108="High Street", 1, 0)</f>
        <v>1</v>
      </c>
      <c r="G108">
        <f>IF('Cleaned Data'!D108="Residential", 1, 0)</f>
        <v>0</v>
      </c>
      <c r="H108">
        <f>IF('Cleaned Data'!D108="Airport", 1, 0)</f>
        <v>0</v>
      </c>
    </row>
    <row r="109" spans="1:8">
      <c r="A109" t="str">
        <f>'Cleaned Data'!A109</f>
        <v>STR-1027</v>
      </c>
      <c r="B109" s="3">
        <f>'Cleaned Data'!B109</f>
        <v>45748</v>
      </c>
      <c r="C109">
        <f>IF('Cleaned Data'!C109="West", 1, 0)</f>
        <v>1</v>
      </c>
      <c r="D109">
        <f>IF('Cleaned Data'!C109="North", 1, 0)</f>
        <v>0</v>
      </c>
      <c r="E109">
        <f>IF('Cleaned Data'!C109="South", 1, 0)</f>
        <v>0</v>
      </c>
      <c r="F109">
        <f>IF('Cleaned Data'!D109="High Street", 1, 0)</f>
        <v>1</v>
      </c>
      <c r="G109">
        <f>IF('Cleaned Data'!D109="Residential", 1, 0)</f>
        <v>0</v>
      </c>
      <c r="H109">
        <f>IF('Cleaned Data'!D109="Airport", 1, 0)</f>
        <v>0</v>
      </c>
    </row>
    <row r="110" spans="1:8">
      <c r="A110" t="str">
        <f>'Cleaned Data'!A110</f>
        <v>STR-1028</v>
      </c>
      <c r="B110" s="3">
        <f>'Cleaned Data'!B110</f>
        <v>45658</v>
      </c>
      <c r="C110">
        <f>IF('Cleaned Data'!C110="West", 1, 0)</f>
        <v>0</v>
      </c>
      <c r="D110">
        <f>IF('Cleaned Data'!C110="North", 1, 0)</f>
        <v>0</v>
      </c>
      <c r="E110">
        <f>IF('Cleaned Data'!C110="South", 1, 0)</f>
        <v>0</v>
      </c>
      <c r="F110">
        <f>IF('Cleaned Data'!D110="High Street", 1, 0)</f>
        <v>0</v>
      </c>
      <c r="G110">
        <f>IF('Cleaned Data'!D110="Residential", 1, 0)</f>
        <v>0</v>
      </c>
      <c r="H110">
        <f>IF('Cleaned Data'!D110="Airport", 1, 0)</f>
        <v>0</v>
      </c>
    </row>
    <row r="111" spans="1:8">
      <c r="A111" t="str">
        <f>'Cleaned Data'!A111</f>
        <v>STR-1028</v>
      </c>
      <c r="B111" s="3">
        <f>'Cleaned Data'!B111</f>
        <v>45689</v>
      </c>
      <c r="C111">
        <f>IF('Cleaned Data'!C111="West", 1, 0)</f>
        <v>0</v>
      </c>
      <c r="D111">
        <f>IF('Cleaned Data'!C111="North", 1, 0)</f>
        <v>0</v>
      </c>
      <c r="E111">
        <f>IF('Cleaned Data'!C111="South", 1, 0)</f>
        <v>0</v>
      </c>
      <c r="F111">
        <f>IF('Cleaned Data'!D111="High Street", 1, 0)</f>
        <v>0</v>
      </c>
      <c r="G111">
        <f>IF('Cleaned Data'!D111="Residential", 1, 0)</f>
        <v>0</v>
      </c>
      <c r="H111">
        <f>IF('Cleaned Data'!D111="Airport", 1, 0)</f>
        <v>0</v>
      </c>
    </row>
    <row r="112" spans="1:8">
      <c r="A112" t="str">
        <f>'Cleaned Data'!A112</f>
        <v>STR-1028</v>
      </c>
      <c r="B112" s="3">
        <f>'Cleaned Data'!B112</f>
        <v>45717</v>
      </c>
      <c r="C112">
        <f>IF('Cleaned Data'!C112="West", 1, 0)</f>
        <v>0</v>
      </c>
      <c r="D112">
        <f>IF('Cleaned Data'!C112="North", 1, 0)</f>
        <v>0</v>
      </c>
      <c r="E112">
        <f>IF('Cleaned Data'!C112="South", 1, 0)</f>
        <v>0</v>
      </c>
      <c r="F112">
        <f>IF('Cleaned Data'!D112="High Street", 1, 0)</f>
        <v>0</v>
      </c>
      <c r="G112">
        <f>IF('Cleaned Data'!D112="Residential", 1, 0)</f>
        <v>0</v>
      </c>
      <c r="H112">
        <f>IF('Cleaned Data'!D112="Airport", 1, 0)</f>
        <v>0</v>
      </c>
    </row>
    <row r="113" spans="1:8">
      <c r="A113" t="str">
        <f>'Cleaned Data'!A113</f>
        <v>STR-1028</v>
      </c>
      <c r="B113" s="3">
        <f>'Cleaned Data'!B113</f>
        <v>45748</v>
      </c>
      <c r="C113">
        <f>IF('Cleaned Data'!C113="West", 1, 0)</f>
        <v>0</v>
      </c>
      <c r="D113">
        <f>IF('Cleaned Data'!C113="North", 1, 0)</f>
        <v>0</v>
      </c>
      <c r="E113">
        <f>IF('Cleaned Data'!C113="South", 1, 0)</f>
        <v>0</v>
      </c>
      <c r="F113">
        <f>IF('Cleaned Data'!D113="High Street", 1, 0)</f>
        <v>0</v>
      </c>
      <c r="G113">
        <f>IF('Cleaned Data'!D113="Residential", 1, 0)</f>
        <v>0</v>
      </c>
      <c r="H113">
        <f>IF('Cleaned Data'!D113="Airport", 1, 0)</f>
        <v>0</v>
      </c>
    </row>
    <row r="114" spans="1:8">
      <c r="A114" t="str">
        <f>'Cleaned Data'!A114</f>
        <v>STR-1029</v>
      </c>
      <c r="B114" s="3">
        <f>'Cleaned Data'!B114</f>
        <v>45658</v>
      </c>
      <c r="C114">
        <f>IF('Cleaned Data'!C114="West", 1, 0)</f>
        <v>1</v>
      </c>
      <c r="D114">
        <f>IF('Cleaned Data'!C114="North", 1, 0)</f>
        <v>0</v>
      </c>
      <c r="E114">
        <f>IF('Cleaned Data'!C114="South", 1, 0)</f>
        <v>0</v>
      </c>
      <c r="F114">
        <f>IF('Cleaned Data'!D114="High Street", 1, 0)</f>
        <v>0</v>
      </c>
      <c r="G114">
        <f>IF('Cleaned Data'!D114="Residential", 1, 0)</f>
        <v>0</v>
      </c>
      <c r="H114">
        <f>IF('Cleaned Data'!D114="Airport", 1, 0)</f>
        <v>0</v>
      </c>
    </row>
    <row r="115" spans="1:8">
      <c r="A115" t="str">
        <f>'Cleaned Data'!A115</f>
        <v>STR-1029</v>
      </c>
      <c r="B115" s="3">
        <f>'Cleaned Data'!B115</f>
        <v>45689</v>
      </c>
      <c r="C115">
        <f>IF('Cleaned Data'!C115="West", 1, 0)</f>
        <v>1</v>
      </c>
      <c r="D115">
        <f>IF('Cleaned Data'!C115="North", 1, 0)</f>
        <v>0</v>
      </c>
      <c r="E115">
        <f>IF('Cleaned Data'!C115="South", 1, 0)</f>
        <v>0</v>
      </c>
      <c r="F115">
        <f>IF('Cleaned Data'!D115="High Street", 1, 0)</f>
        <v>0</v>
      </c>
      <c r="G115">
        <f>IF('Cleaned Data'!D115="Residential", 1, 0)</f>
        <v>0</v>
      </c>
      <c r="H115">
        <f>IF('Cleaned Data'!D115="Airport", 1, 0)</f>
        <v>0</v>
      </c>
    </row>
    <row r="116" spans="1:8">
      <c r="A116" t="str">
        <f>'Cleaned Data'!A116</f>
        <v>STR-1029</v>
      </c>
      <c r="B116" s="3">
        <f>'Cleaned Data'!B116</f>
        <v>45717</v>
      </c>
      <c r="C116">
        <f>IF('Cleaned Data'!C116="West", 1, 0)</f>
        <v>1</v>
      </c>
      <c r="D116">
        <f>IF('Cleaned Data'!C116="North", 1, 0)</f>
        <v>0</v>
      </c>
      <c r="E116">
        <f>IF('Cleaned Data'!C116="South", 1, 0)</f>
        <v>0</v>
      </c>
      <c r="F116">
        <f>IF('Cleaned Data'!D116="High Street", 1, 0)</f>
        <v>0</v>
      </c>
      <c r="G116">
        <f>IF('Cleaned Data'!D116="Residential", 1, 0)</f>
        <v>0</v>
      </c>
      <c r="H116">
        <f>IF('Cleaned Data'!D116="Airport", 1, 0)</f>
        <v>0</v>
      </c>
    </row>
    <row r="117" spans="1:8">
      <c r="A117" t="str">
        <f>'Cleaned Data'!A117</f>
        <v>STR-1029</v>
      </c>
      <c r="B117" s="3">
        <f>'Cleaned Data'!B117</f>
        <v>45748</v>
      </c>
      <c r="C117">
        <f>IF('Cleaned Data'!C117="West", 1, 0)</f>
        <v>1</v>
      </c>
      <c r="D117">
        <f>IF('Cleaned Data'!C117="North", 1, 0)</f>
        <v>0</v>
      </c>
      <c r="E117">
        <f>IF('Cleaned Data'!C117="South", 1, 0)</f>
        <v>0</v>
      </c>
      <c r="F117">
        <f>IF('Cleaned Data'!D117="High Street", 1, 0)</f>
        <v>0</v>
      </c>
      <c r="G117">
        <f>IF('Cleaned Data'!D117="Residential", 1, 0)</f>
        <v>0</v>
      </c>
      <c r="H117">
        <f>IF('Cleaned Data'!D117="Airport", 1, 0)</f>
        <v>0</v>
      </c>
    </row>
    <row r="118" spans="1:8">
      <c r="A118" t="str">
        <f>'Cleaned Data'!A118</f>
        <v>STR-1030</v>
      </c>
      <c r="B118" s="3">
        <f>'Cleaned Data'!B118</f>
        <v>45658</v>
      </c>
      <c r="C118">
        <f>IF('Cleaned Data'!C118="West", 1, 0)</f>
        <v>1</v>
      </c>
      <c r="D118">
        <f>IF('Cleaned Data'!C118="North", 1, 0)</f>
        <v>0</v>
      </c>
      <c r="E118">
        <f>IF('Cleaned Data'!C118="South", 1, 0)</f>
        <v>0</v>
      </c>
      <c r="F118">
        <f>IF('Cleaned Data'!D118="High Street", 1, 0)</f>
        <v>0</v>
      </c>
      <c r="G118">
        <f>IF('Cleaned Data'!D118="Residential", 1, 0)</f>
        <v>1</v>
      </c>
      <c r="H118">
        <f>IF('Cleaned Data'!D118="Airport", 1, 0)</f>
        <v>0</v>
      </c>
    </row>
    <row r="119" spans="1:8">
      <c r="A119" t="str">
        <f>'Cleaned Data'!A119</f>
        <v>STR-1030</v>
      </c>
      <c r="B119" s="3">
        <f>'Cleaned Data'!B119</f>
        <v>45689</v>
      </c>
      <c r="C119">
        <f>IF('Cleaned Data'!C119="West", 1, 0)</f>
        <v>1</v>
      </c>
      <c r="D119">
        <f>IF('Cleaned Data'!C119="North", 1, 0)</f>
        <v>0</v>
      </c>
      <c r="E119">
        <f>IF('Cleaned Data'!C119="South", 1, 0)</f>
        <v>0</v>
      </c>
      <c r="F119">
        <f>IF('Cleaned Data'!D119="High Street", 1, 0)</f>
        <v>0</v>
      </c>
      <c r="G119">
        <f>IF('Cleaned Data'!D119="Residential", 1, 0)</f>
        <v>1</v>
      </c>
      <c r="H119">
        <f>IF('Cleaned Data'!D119="Airport", 1, 0)</f>
        <v>0</v>
      </c>
    </row>
    <row r="120" spans="1:8">
      <c r="A120" t="str">
        <f>'Cleaned Data'!A120</f>
        <v>STR-1030</v>
      </c>
      <c r="B120" s="3">
        <f>'Cleaned Data'!B120</f>
        <v>45717</v>
      </c>
      <c r="C120">
        <f>IF('Cleaned Data'!C120="West", 1, 0)</f>
        <v>1</v>
      </c>
      <c r="D120">
        <f>IF('Cleaned Data'!C120="North", 1, 0)</f>
        <v>0</v>
      </c>
      <c r="E120">
        <f>IF('Cleaned Data'!C120="South", 1, 0)</f>
        <v>0</v>
      </c>
      <c r="F120">
        <f>IF('Cleaned Data'!D120="High Street", 1, 0)</f>
        <v>0</v>
      </c>
      <c r="G120">
        <f>IF('Cleaned Data'!D120="Residential", 1, 0)</f>
        <v>1</v>
      </c>
      <c r="H120">
        <f>IF('Cleaned Data'!D120="Airport", 1, 0)</f>
        <v>0</v>
      </c>
    </row>
    <row r="121" spans="1:8">
      <c r="A121" t="str">
        <f>'Cleaned Data'!A121</f>
        <v>STR-1030</v>
      </c>
      <c r="B121" s="3">
        <f>'Cleaned Data'!B121</f>
        <v>45748</v>
      </c>
      <c r="C121">
        <f>IF('Cleaned Data'!C121="West", 1, 0)</f>
        <v>1</v>
      </c>
      <c r="D121">
        <f>IF('Cleaned Data'!C121="North", 1, 0)</f>
        <v>0</v>
      </c>
      <c r="E121">
        <f>IF('Cleaned Data'!C121="South", 1, 0)</f>
        <v>0</v>
      </c>
      <c r="F121">
        <f>IF('Cleaned Data'!D121="High Street", 1, 0)</f>
        <v>0</v>
      </c>
      <c r="G121">
        <f>IF('Cleaned Data'!D121="Residential", 1, 0)</f>
        <v>1</v>
      </c>
      <c r="H121">
        <f>IF('Cleaned Data'!D121="Airport", 1, 0)</f>
        <v>0</v>
      </c>
    </row>
    <row r="122" spans="1:8">
      <c r="A122" t="str">
        <f>'Cleaned Data'!A122</f>
        <v>STR-1031</v>
      </c>
      <c r="B122" s="3">
        <f>'Cleaned Data'!B122</f>
        <v>45658</v>
      </c>
      <c r="C122">
        <f>IF('Cleaned Data'!C122="West", 1, 0)</f>
        <v>0</v>
      </c>
      <c r="D122">
        <f>IF('Cleaned Data'!C122="North", 1, 0)</f>
        <v>1</v>
      </c>
      <c r="E122">
        <f>IF('Cleaned Data'!C122="South", 1, 0)</f>
        <v>0</v>
      </c>
      <c r="F122">
        <f>IF('Cleaned Data'!D122="High Street", 1, 0)</f>
        <v>1</v>
      </c>
      <c r="G122">
        <f>IF('Cleaned Data'!D122="Residential", 1, 0)</f>
        <v>0</v>
      </c>
      <c r="H122">
        <f>IF('Cleaned Data'!D122="Airport", 1, 0)</f>
        <v>0</v>
      </c>
    </row>
    <row r="123" spans="1:8">
      <c r="A123" t="str">
        <f>'Cleaned Data'!A123</f>
        <v>STR-1031</v>
      </c>
      <c r="B123" s="3">
        <f>'Cleaned Data'!B123</f>
        <v>45689</v>
      </c>
      <c r="C123">
        <f>IF('Cleaned Data'!C123="West", 1, 0)</f>
        <v>0</v>
      </c>
      <c r="D123">
        <f>IF('Cleaned Data'!C123="North", 1, 0)</f>
        <v>1</v>
      </c>
      <c r="E123">
        <f>IF('Cleaned Data'!C123="South", 1, 0)</f>
        <v>0</v>
      </c>
      <c r="F123">
        <f>IF('Cleaned Data'!D123="High Street", 1, 0)</f>
        <v>1</v>
      </c>
      <c r="G123">
        <f>IF('Cleaned Data'!D123="Residential", 1, 0)</f>
        <v>0</v>
      </c>
      <c r="H123">
        <f>IF('Cleaned Data'!D123="Airport", 1, 0)</f>
        <v>0</v>
      </c>
    </row>
    <row r="124" spans="1:8">
      <c r="A124" t="str">
        <f>'Cleaned Data'!A124</f>
        <v>STR-1031</v>
      </c>
      <c r="B124" s="3">
        <f>'Cleaned Data'!B124</f>
        <v>45717</v>
      </c>
      <c r="C124">
        <f>IF('Cleaned Data'!C124="West", 1, 0)</f>
        <v>0</v>
      </c>
      <c r="D124">
        <f>IF('Cleaned Data'!C124="North", 1, 0)</f>
        <v>1</v>
      </c>
      <c r="E124">
        <f>IF('Cleaned Data'!C124="South", 1, 0)</f>
        <v>0</v>
      </c>
      <c r="F124">
        <f>IF('Cleaned Data'!D124="High Street", 1, 0)</f>
        <v>1</v>
      </c>
      <c r="G124">
        <f>IF('Cleaned Data'!D124="Residential", 1, 0)</f>
        <v>0</v>
      </c>
      <c r="H124">
        <f>IF('Cleaned Data'!D124="Airport", 1, 0)</f>
        <v>0</v>
      </c>
    </row>
    <row r="125" spans="1:8">
      <c r="A125" t="str">
        <f>'Cleaned Data'!A125</f>
        <v>STR-1031</v>
      </c>
      <c r="B125" s="3">
        <f>'Cleaned Data'!B125</f>
        <v>45748</v>
      </c>
      <c r="C125">
        <f>IF('Cleaned Data'!C125="West", 1, 0)</f>
        <v>0</v>
      </c>
      <c r="D125">
        <f>IF('Cleaned Data'!C125="North", 1, 0)</f>
        <v>1</v>
      </c>
      <c r="E125">
        <f>IF('Cleaned Data'!C125="South", 1, 0)</f>
        <v>0</v>
      </c>
      <c r="F125">
        <f>IF('Cleaned Data'!D125="High Street", 1, 0)</f>
        <v>1</v>
      </c>
      <c r="G125">
        <f>IF('Cleaned Data'!D125="Residential", 1, 0)</f>
        <v>0</v>
      </c>
      <c r="H125">
        <f>IF('Cleaned Data'!D125="Airport", 1, 0)</f>
        <v>0</v>
      </c>
    </row>
    <row r="126" spans="1:8">
      <c r="A126" t="str">
        <f>'Cleaned Data'!A126</f>
        <v>STR-1032</v>
      </c>
      <c r="B126" s="3">
        <f>'Cleaned Data'!B126</f>
        <v>45658</v>
      </c>
      <c r="C126">
        <f>IF('Cleaned Data'!C126="West", 1, 0)</f>
        <v>0</v>
      </c>
      <c r="D126">
        <f>IF('Cleaned Data'!C126="North", 1, 0)</f>
        <v>0</v>
      </c>
      <c r="E126">
        <f>IF('Cleaned Data'!C126="South", 1, 0)</f>
        <v>1</v>
      </c>
      <c r="F126">
        <f>IF('Cleaned Data'!D126="High Street", 1, 0)</f>
        <v>1</v>
      </c>
      <c r="G126">
        <f>IF('Cleaned Data'!D126="Residential", 1, 0)</f>
        <v>0</v>
      </c>
      <c r="H126">
        <f>IF('Cleaned Data'!D126="Airport", 1, 0)</f>
        <v>0</v>
      </c>
    </row>
    <row r="127" spans="1:8">
      <c r="A127" t="str">
        <f>'Cleaned Data'!A127</f>
        <v>STR-1032</v>
      </c>
      <c r="B127" s="3">
        <f>'Cleaned Data'!B127</f>
        <v>45689</v>
      </c>
      <c r="C127">
        <f>IF('Cleaned Data'!C127="West", 1, 0)</f>
        <v>0</v>
      </c>
      <c r="D127">
        <f>IF('Cleaned Data'!C127="North", 1, 0)</f>
        <v>0</v>
      </c>
      <c r="E127">
        <f>IF('Cleaned Data'!C127="South", 1, 0)</f>
        <v>1</v>
      </c>
      <c r="F127">
        <f>IF('Cleaned Data'!D127="High Street", 1, 0)</f>
        <v>1</v>
      </c>
      <c r="G127">
        <f>IF('Cleaned Data'!D127="Residential", 1, 0)</f>
        <v>0</v>
      </c>
      <c r="H127">
        <f>IF('Cleaned Data'!D127="Airport", 1, 0)</f>
        <v>0</v>
      </c>
    </row>
    <row r="128" spans="1:8">
      <c r="A128" t="str">
        <f>'Cleaned Data'!A128</f>
        <v>STR-1032</v>
      </c>
      <c r="B128" s="3">
        <f>'Cleaned Data'!B128</f>
        <v>45717</v>
      </c>
      <c r="C128">
        <f>IF('Cleaned Data'!C128="West", 1, 0)</f>
        <v>0</v>
      </c>
      <c r="D128">
        <f>IF('Cleaned Data'!C128="North", 1, 0)</f>
        <v>0</v>
      </c>
      <c r="E128">
        <f>IF('Cleaned Data'!C128="South", 1, 0)</f>
        <v>1</v>
      </c>
      <c r="F128">
        <f>IF('Cleaned Data'!D128="High Street", 1, 0)</f>
        <v>1</v>
      </c>
      <c r="G128">
        <f>IF('Cleaned Data'!D128="Residential", 1, 0)</f>
        <v>0</v>
      </c>
      <c r="H128">
        <f>IF('Cleaned Data'!D128="Airport", 1, 0)</f>
        <v>0</v>
      </c>
    </row>
    <row r="129" spans="1:8">
      <c r="A129" t="str">
        <f>'Cleaned Data'!A129</f>
        <v>STR-1032</v>
      </c>
      <c r="B129" s="3">
        <f>'Cleaned Data'!B129</f>
        <v>45748</v>
      </c>
      <c r="C129">
        <f>IF('Cleaned Data'!C129="West", 1, 0)</f>
        <v>0</v>
      </c>
      <c r="D129">
        <f>IF('Cleaned Data'!C129="North", 1, 0)</f>
        <v>0</v>
      </c>
      <c r="E129">
        <f>IF('Cleaned Data'!C129="South", 1, 0)</f>
        <v>1</v>
      </c>
      <c r="F129">
        <f>IF('Cleaned Data'!D129="High Street", 1, 0)</f>
        <v>1</v>
      </c>
      <c r="G129">
        <f>IF('Cleaned Data'!D129="Residential", 1, 0)</f>
        <v>0</v>
      </c>
      <c r="H129">
        <f>IF('Cleaned Data'!D129="Airport", 1, 0)</f>
        <v>0</v>
      </c>
    </row>
    <row r="130" spans="1:8">
      <c r="A130" t="str">
        <f>'Cleaned Data'!A130</f>
        <v>STR-1033</v>
      </c>
      <c r="B130" s="3">
        <f>'Cleaned Data'!B130</f>
        <v>45658</v>
      </c>
      <c r="C130">
        <f>IF('Cleaned Data'!C130="West", 1, 0)</f>
        <v>0</v>
      </c>
      <c r="D130">
        <f>IF('Cleaned Data'!C130="North", 1, 0)</f>
        <v>0</v>
      </c>
      <c r="E130">
        <f>IF('Cleaned Data'!C130="South", 1, 0)</f>
        <v>0</v>
      </c>
      <c r="F130">
        <f>IF('Cleaned Data'!D130="High Street", 1, 0)</f>
        <v>1</v>
      </c>
      <c r="G130">
        <f>IF('Cleaned Data'!D130="Residential", 1, 0)</f>
        <v>0</v>
      </c>
      <c r="H130">
        <f>IF('Cleaned Data'!D130="Airport", 1, 0)</f>
        <v>0</v>
      </c>
    </row>
    <row r="131" spans="1:8">
      <c r="A131" t="str">
        <f>'Cleaned Data'!A131</f>
        <v>STR-1033</v>
      </c>
      <c r="B131" s="3">
        <f>'Cleaned Data'!B131</f>
        <v>45689</v>
      </c>
      <c r="C131">
        <f>IF('Cleaned Data'!C131="West", 1, 0)</f>
        <v>0</v>
      </c>
      <c r="D131">
        <f>IF('Cleaned Data'!C131="North", 1, 0)</f>
        <v>0</v>
      </c>
      <c r="E131">
        <f>IF('Cleaned Data'!C131="South", 1, 0)</f>
        <v>0</v>
      </c>
      <c r="F131">
        <f>IF('Cleaned Data'!D131="High Street", 1, 0)</f>
        <v>1</v>
      </c>
      <c r="G131">
        <f>IF('Cleaned Data'!D131="Residential", 1, 0)</f>
        <v>0</v>
      </c>
      <c r="H131">
        <f>IF('Cleaned Data'!D131="Airport", 1, 0)</f>
        <v>0</v>
      </c>
    </row>
    <row r="132" spans="1:8">
      <c r="A132" t="str">
        <f>'Cleaned Data'!A132</f>
        <v>STR-1033</v>
      </c>
      <c r="B132" s="3">
        <f>'Cleaned Data'!B132</f>
        <v>45717</v>
      </c>
      <c r="C132">
        <f>IF('Cleaned Data'!C132="West", 1, 0)</f>
        <v>0</v>
      </c>
      <c r="D132">
        <f>IF('Cleaned Data'!C132="North", 1, 0)</f>
        <v>0</v>
      </c>
      <c r="E132">
        <f>IF('Cleaned Data'!C132="South", 1, 0)</f>
        <v>0</v>
      </c>
      <c r="F132">
        <f>IF('Cleaned Data'!D132="High Street", 1, 0)</f>
        <v>1</v>
      </c>
      <c r="G132">
        <f>IF('Cleaned Data'!D132="Residential", 1, 0)</f>
        <v>0</v>
      </c>
      <c r="H132">
        <f>IF('Cleaned Data'!D132="Airport", 1, 0)</f>
        <v>0</v>
      </c>
    </row>
    <row r="133" spans="1:8">
      <c r="A133" t="str">
        <f>'Cleaned Data'!A133</f>
        <v>STR-1033</v>
      </c>
      <c r="B133" s="3">
        <f>'Cleaned Data'!B133</f>
        <v>45748</v>
      </c>
      <c r="C133">
        <f>IF('Cleaned Data'!C133="West", 1, 0)</f>
        <v>0</v>
      </c>
      <c r="D133">
        <f>IF('Cleaned Data'!C133="North", 1, 0)</f>
        <v>0</v>
      </c>
      <c r="E133">
        <f>IF('Cleaned Data'!C133="South", 1, 0)</f>
        <v>0</v>
      </c>
      <c r="F133">
        <f>IF('Cleaned Data'!D133="High Street", 1, 0)</f>
        <v>1</v>
      </c>
      <c r="G133">
        <f>IF('Cleaned Data'!D133="Residential", 1, 0)</f>
        <v>0</v>
      </c>
      <c r="H133">
        <f>IF('Cleaned Data'!D133="Airport", 1, 0)</f>
        <v>0</v>
      </c>
    </row>
    <row r="134" spans="1:8">
      <c r="A134" t="str">
        <f>'Cleaned Data'!A134</f>
        <v>STR-1034</v>
      </c>
      <c r="B134" s="3">
        <f>'Cleaned Data'!B134</f>
        <v>45658</v>
      </c>
      <c r="C134">
        <f>IF('Cleaned Data'!C134="West", 1, 0)</f>
        <v>0</v>
      </c>
      <c r="D134">
        <f>IF('Cleaned Data'!C134="North", 1, 0)</f>
        <v>1</v>
      </c>
      <c r="E134">
        <f>IF('Cleaned Data'!C134="South", 1, 0)</f>
        <v>0</v>
      </c>
      <c r="F134">
        <f>IF('Cleaned Data'!D134="High Street", 1, 0)</f>
        <v>1</v>
      </c>
      <c r="G134">
        <f>IF('Cleaned Data'!D134="Residential", 1, 0)</f>
        <v>0</v>
      </c>
      <c r="H134">
        <f>IF('Cleaned Data'!D134="Airport", 1, 0)</f>
        <v>0</v>
      </c>
    </row>
    <row r="135" spans="1:8">
      <c r="A135" t="str">
        <f>'Cleaned Data'!A135</f>
        <v>STR-1034</v>
      </c>
      <c r="B135" s="3">
        <f>'Cleaned Data'!B135</f>
        <v>45689</v>
      </c>
      <c r="C135">
        <f>IF('Cleaned Data'!C135="West", 1, 0)</f>
        <v>0</v>
      </c>
      <c r="D135">
        <f>IF('Cleaned Data'!C135="North", 1, 0)</f>
        <v>1</v>
      </c>
      <c r="E135">
        <f>IF('Cleaned Data'!C135="South", 1, 0)</f>
        <v>0</v>
      </c>
      <c r="F135">
        <f>IF('Cleaned Data'!D135="High Street", 1, 0)</f>
        <v>1</v>
      </c>
      <c r="G135">
        <f>IF('Cleaned Data'!D135="Residential", 1, 0)</f>
        <v>0</v>
      </c>
      <c r="H135">
        <f>IF('Cleaned Data'!D135="Airport", 1, 0)</f>
        <v>0</v>
      </c>
    </row>
    <row r="136" spans="1:8">
      <c r="A136" t="str">
        <f>'Cleaned Data'!A136</f>
        <v>STR-1034</v>
      </c>
      <c r="B136" s="3">
        <f>'Cleaned Data'!B136</f>
        <v>45717</v>
      </c>
      <c r="C136">
        <f>IF('Cleaned Data'!C136="West", 1, 0)</f>
        <v>0</v>
      </c>
      <c r="D136">
        <f>IF('Cleaned Data'!C136="North", 1, 0)</f>
        <v>1</v>
      </c>
      <c r="E136">
        <f>IF('Cleaned Data'!C136="South", 1, 0)</f>
        <v>0</v>
      </c>
      <c r="F136">
        <f>IF('Cleaned Data'!D136="High Street", 1, 0)</f>
        <v>1</v>
      </c>
      <c r="G136">
        <f>IF('Cleaned Data'!D136="Residential", 1, 0)</f>
        <v>0</v>
      </c>
      <c r="H136">
        <f>IF('Cleaned Data'!D136="Airport", 1, 0)</f>
        <v>0</v>
      </c>
    </row>
    <row r="137" spans="1:8">
      <c r="A137" t="str">
        <f>'Cleaned Data'!A137</f>
        <v>STR-1034</v>
      </c>
      <c r="B137" s="3">
        <f>'Cleaned Data'!B137</f>
        <v>45748</v>
      </c>
      <c r="C137">
        <f>IF('Cleaned Data'!C137="West", 1, 0)</f>
        <v>0</v>
      </c>
      <c r="D137">
        <f>IF('Cleaned Data'!C137="North", 1, 0)</f>
        <v>1</v>
      </c>
      <c r="E137">
        <f>IF('Cleaned Data'!C137="South", 1, 0)</f>
        <v>0</v>
      </c>
      <c r="F137">
        <f>IF('Cleaned Data'!D137="High Street", 1, 0)</f>
        <v>1</v>
      </c>
      <c r="G137">
        <f>IF('Cleaned Data'!D137="Residential", 1, 0)</f>
        <v>0</v>
      </c>
      <c r="H137">
        <f>IF('Cleaned Data'!D137="Airport", 1, 0)</f>
        <v>0</v>
      </c>
    </row>
    <row r="138" spans="1:8">
      <c r="A138" t="str">
        <f>'Cleaned Data'!A138</f>
        <v>STR-1035</v>
      </c>
      <c r="B138" s="3">
        <f>'Cleaned Data'!B138</f>
        <v>45658</v>
      </c>
      <c r="C138">
        <f>IF('Cleaned Data'!C138="West", 1, 0)</f>
        <v>0</v>
      </c>
      <c r="D138">
        <f>IF('Cleaned Data'!C138="North", 1, 0)</f>
        <v>0</v>
      </c>
      <c r="E138">
        <f>IF('Cleaned Data'!C138="South", 1, 0)</f>
        <v>1</v>
      </c>
      <c r="F138">
        <f>IF('Cleaned Data'!D138="High Street", 1, 0)</f>
        <v>0</v>
      </c>
      <c r="G138">
        <f>IF('Cleaned Data'!D138="Residential", 1, 0)</f>
        <v>1</v>
      </c>
      <c r="H138">
        <f>IF('Cleaned Data'!D138="Airport", 1, 0)</f>
        <v>0</v>
      </c>
    </row>
    <row r="139" spans="1:8">
      <c r="A139" t="str">
        <f>'Cleaned Data'!A139</f>
        <v>STR-1035</v>
      </c>
      <c r="B139" s="3">
        <f>'Cleaned Data'!B139</f>
        <v>45689</v>
      </c>
      <c r="C139">
        <f>IF('Cleaned Data'!C139="West", 1, 0)</f>
        <v>0</v>
      </c>
      <c r="D139">
        <f>IF('Cleaned Data'!C139="North", 1, 0)</f>
        <v>0</v>
      </c>
      <c r="E139">
        <f>IF('Cleaned Data'!C139="South", 1, 0)</f>
        <v>1</v>
      </c>
      <c r="F139">
        <f>IF('Cleaned Data'!D139="High Street", 1, 0)</f>
        <v>0</v>
      </c>
      <c r="G139">
        <f>IF('Cleaned Data'!D139="Residential", 1, 0)</f>
        <v>1</v>
      </c>
      <c r="H139">
        <f>IF('Cleaned Data'!D139="Airport", 1, 0)</f>
        <v>0</v>
      </c>
    </row>
    <row r="140" spans="1:8">
      <c r="A140" t="str">
        <f>'Cleaned Data'!A140</f>
        <v>STR-1035</v>
      </c>
      <c r="B140" s="3">
        <f>'Cleaned Data'!B140</f>
        <v>45717</v>
      </c>
      <c r="C140">
        <f>IF('Cleaned Data'!C140="West", 1, 0)</f>
        <v>0</v>
      </c>
      <c r="D140">
        <f>IF('Cleaned Data'!C140="North", 1, 0)</f>
        <v>0</v>
      </c>
      <c r="E140">
        <f>IF('Cleaned Data'!C140="South", 1, 0)</f>
        <v>1</v>
      </c>
      <c r="F140">
        <f>IF('Cleaned Data'!D140="High Street", 1, 0)</f>
        <v>0</v>
      </c>
      <c r="G140">
        <f>IF('Cleaned Data'!D140="Residential", 1, 0)</f>
        <v>1</v>
      </c>
      <c r="H140">
        <f>IF('Cleaned Data'!D140="Airport", 1, 0)</f>
        <v>0</v>
      </c>
    </row>
    <row r="141" spans="1:8">
      <c r="A141" t="str">
        <f>'Cleaned Data'!A141</f>
        <v>STR-1035</v>
      </c>
      <c r="B141" s="3">
        <f>'Cleaned Data'!B141</f>
        <v>45748</v>
      </c>
      <c r="C141">
        <f>IF('Cleaned Data'!C141="West", 1, 0)</f>
        <v>0</v>
      </c>
      <c r="D141">
        <f>IF('Cleaned Data'!C141="North", 1, 0)</f>
        <v>0</v>
      </c>
      <c r="E141">
        <f>IF('Cleaned Data'!C141="South", 1, 0)</f>
        <v>1</v>
      </c>
      <c r="F141">
        <f>IF('Cleaned Data'!D141="High Street", 1, 0)</f>
        <v>0</v>
      </c>
      <c r="G141">
        <f>IF('Cleaned Data'!D141="Residential", 1, 0)</f>
        <v>1</v>
      </c>
      <c r="H141">
        <f>IF('Cleaned Data'!D141="Airport", 1, 0)</f>
        <v>0</v>
      </c>
    </row>
    <row r="142" spans="1:8">
      <c r="A142" t="str">
        <f>'Cleaned Data'!A142</f>
        <v>STR-1036</v>
      </c>
      <c r="B142" s="3">
        <f>'Cleaned Data'!B142</f>
        <v>45658</v>
      </c>
      <c r="C142">
        <f>IF('Cleaned Data'!C142="West", 1, 0)</f>
        <v>1</v>
      </c>
      <c r="D142">
        <f>IF('Cleaned Data'!C142="North", 1, 0)</f>
        <v>0</v>
      </c>
      <c r="E142">
        <f>IF('Cleaned Data'!C142="South", 1, 0)</f>
        <v>0</v>
      </c>
      <c r="F142">
        <f>IF('Cleaned Data'!D142="High Street", 1, 0)</f>
        <v>1</v>
      </c>
      <c r="G142">
        <f>IF('Cleaned Data'!D142="Residential", 1, 0)</f>
        <v>0</v>
      </c>
      <c r="H142">
        <f>IF('Cleaned Data'!D142="Airport", 1, 0)</f>
        <v>0</v>
      </c>
    </row>
    <row r="143" spans="1:8">
      <c r="A143" t="str">
        <f>'Cleaned Data'!A143</f>
        <v>STR-1036</v>
      </c>
      <c r="B143" s="3">
        <f>'Cleaned Data'!B143</f>
        <v>45689</v>
      </c>
      <c r="C143">
        <f>IF('Cleaned Data'!C143="West", 1, 0)</f>
        <v>1</v>
      </c>
      <c r="D143">
        <f>IF('Cleaned Data'!C143="North", 1, 0)</f>
        <v>0</v>
      </c>
      <c r="E143">
        <f>IF('Cleaned Data'!C143="South", 1, 0)</f>
        <v>0</v>
      </c>
      <c r="F143">
        <f>IF('Cleaned Data'!D143="High Street", 1, 0)</f>
        <v>1</v>
      </c>
      <c r="G143">
        <f>IF('Cleaned Data'!D143="Residential", 1, 0)</f>
        <v>0</v>
      </c>
      <c r="H143">
        <f>IF('Cleaned Data'!D143="Airport", 1, 0)</f>
        <v>0</v>
      </c>
    </row>
    <row r="144" spans="1:8">
      <c r="A144" t="str">
        <f>'Cleaned Data'!A144</f>
        <v>STR-1036</v>
      </c>
      <c r="B144" s="3">
        <f>'Cleaned Data'!B144</f>
        <v>45717</v>
      </c>
      <c r="C144">
        <f>IF('Cleaned Data'!C144="West", 1, 0)</f>
        <v>1</v>
      </c>
      <c r="D144">
        <f>IF('Cleaned Data'!C144="North", 1, 0)</f>
        <v>0</v>
      </c>
      <c r="E144">
        <f>IF('Cleaned Data'!C144="South", 1, 0)</f>
        <v>0</v>
      </c>
      <c r="F144">
        <f>IF('Cleaned Data'!D144="High Street", 1, 0)</f>
        <v>1</v>
      </c>
      <c r="G144">
        <f>IF('Cleaned Data'!D144="Residential", 1, 0)</f>
        <v>0</v>
      </c>
      <c r="H144">
        <f>IF('Cleaned Data'!D144="Airport", 1, 0)</f>
        <v>0</v>
      </c>
    </row>
    <row r="145" spans="1:8">
      <c r="A145" t="str">
        <f>'Cleaned Data'!A145</f>
        <v>STR-1036</v>
      </c>
      <c r="B145" s="3">
        <f>'Cleaned Data'!B145</f>
        <v>45748</v>
      </c>
      <c r="C145">
        <f>IF('Cleaned Data'!C145="West", 1, 0)</f>
        <v>1</v>
      </c>
      <c r="D145">
        <f>IF('Cleaned Data'!C145="North", 1, 0)</f>
        <v>0</v>
      </c>
      <c r="E145">
        <f>IF('Cleaned Data'!C145="South", 1, 0)</f>
        <v>0</v>
      </c>
      <c r="F145">
        <f>IF('Cleaned Data'!D145="High Street", 1, 0)</f>
        <v>1</v>
      </c>
      <c r="G145">
        <f>IF('Cleaned Data'!D145="Residential", 1, 0)</f>
        <v>0</v>
      </c>
      <c r="H145">
        <f>IF('Cleaned Data'!D145="Airport", 1, 0)</f>
        <v>0</v>
      </c>
    </row>
    <row r="146" spans="1:8">
      <c r="A146" t="str">
        <f>'Cleaned Data'!A146</f>
        <v>STR-1037</v>
      </c>
      <c r="B146" s="3">
        <f>'Cleaned Data'!B146</f>
        <v>45658</v>
      </c>
      <c r="C146">
        <f>IF('Cleaned Data'!C146="West", 1, 0)</f>
        <v>0</v>
      </c>
      <c r="D146">
        <f>IF('Cleaned Data'!C146="North", 1, 0)</f>
        <v>1</v>
      </c>
      <c r="E146">
        <f>IF('Cleaned Data'!C146="South", 1, 0)</f>
        <v>0</v>
      </c>
      <c r="F146">
        <f>IF('Cleaned Data'!D146="High Street", 1, 0)</f>
        <v>0</v>
      </c>
      <c r="G146">
        <f>IF('Cleaned Data'!D146="Residential", 1, 0)</f>
        <v>1</v>
      </c>
      <c r="H146">
        <f>IF('Cleaned Data'!D146="Airport", 1, 0)</f>
        <v>0</v>
      </c>
    </row>
    <row r="147" spans="1:8">
      <c r="A147" t="str">
        <f>'Cleaned Data'!A147</f>
        <v>STR-1037</v>
      </c>
      <c r="B147" s="3">
        <f>'Cleaned Data'!B147</f>
        <v>45689</v>
      </c>
      <c r="C147">
        <f>IF('Cleaned Data'!C147="West", 1, 0)</f>
        <v>0</v>
      </c>
      <c r="D147">
        <f>IF('Cleaned Data'!C147="North", 1, 0)</f>
        <v>1</v>
      </c>
      <c r="E147">
        <f>IF('Cleaned Data'!C147="South", 1, 0)</f>
        <v>0</v>
      </c>
      <c r="F147">
        <f>IF('Cleaned Data'!D147="High Street", 1, 0)</f>
        <v>0</v>
      </c>
      <c r="G147">
        <f>IF('Cleaned Data'!D147="Residential", 1, 0)</f>
        <v>1</v>
      </c>
      <c r="H147">
        <f>IF('Cleaned Data'!D147="Airport", 1, 0)</f>
        <v>0</v>
      </c>
    </row>
    <row r="148" spans="1:8">
      <c r="A148" t="str">
        <f>'Cleaned Data'!A148</f>
        <v>STR-1037</v>
      </c>
      <c r="B148" s="3">
        <f>'Cleaned Data'!B148</f>
        <v>45717</v>
      </c>
      <c r="C148">
        <f>IF('Cleaned Data'!C148="West", 1, 0)</f>
        <v>0</v>
      </c>
      <c r="D148">
        <f>IF('Cleaned Data'!C148="North", 1, 0)</f>
        <v>1</v>
      </c>
      <c r="E148">
        <f>IF('Cleaned Data'!C148="South", 1, 0)</f>
        <v>0</v>
      </c>
      <c r="F148">
        <f>IF('Cleaned Data'!D148="High Street", 1, 0)</f>
        <v>0</v>
      </c>
      <c r="G148">
        <f>IF('Cleaned Data'!D148="Residential", 1, 0)</f>
        <v>1</v>
      </c>
      <c r="H148">
        <f>IF('Cleaned Data'!D148="Airport", 1, 0)</f>
        <v>0</v>
      </c>
    </row>
    <row r="149" spans="1:8">
      <c r="A149" t="str">
        <f>'Cleaned Data'!A149</f>
        <v>STR-1037</v>
      </c>
      <c r="B149" s="3">
        <f>'Cleaned Data'!B149</f>
        <v>45748</v>
      </c>
      <c r="C149">
        <f>IF('Cleaned Data'!C149="West", 1, 0)</f>
        <v>0</v>
      </c>
      <c r="D149">
        <f>IF('Cleaned Data'!C149="North", 1, 0)</f>
        <v>1</v>
      </c>
      <c r="E149">
        <f>IF('Cleaned Data'!C149="South", 1, 0)</f>
        <v>0</v>
      </c>
      <c r="F149">
        <f>IF('Cleaned Data'!D149="High Street", 1, 0)</f>
        <v>0</v>
      </c>
      <c r="G149">
        <f>IF('Cleaned Data'!D149="Residential", 1, 0)</f>
        <v>1</v>
      </c>
      <c r="H149">
        <f>IF('Cleaned Data'!D149="Airport", 1, 0)</f>
        <v>0</v>
      </c>
    </row>
    <row r="150" spans="1:8">
      <c r="A150" t="str">
        <f>'Cleaned Data'!A150</f>
        <v>STR-1038</v>
      </c>
      <c r="B150" s="3">
        <f>'Cleaned Data'!B150</f>
        <v>45658</v>
      </c>
      <c r="C150">
        <f>IF('Cleaned Data'!C150="West", 1, 0)</f>
        <v>0</v>
      </c>
      <c r="D150">
        <f>IF('Cleaned Data'!C150="North", 1, 0)</f>
        <v>0</v>
      </c>
      <c r="E150">
        <f>IF('Cleaned Data'!C150="South", 1, 0)</f>
        <v>1</v>
      </c>
      <c r="F150">
        <f>IF('Cleaned Data'!D150="High Street", 1, 0)</f>
        <v>0</v>
      </c>
      <c r="G150">
        <f>IF('Cleaned Data'!D150="Residential", 1, 0)</f>
        <v>0</v>
      </c>
      <c r="H150">
        <f>IF('Cleaned Data'!D150="Airport", 1, 0)</f>
        <v>0</v>
      </c>
    </row>
    <row r="151" spans="1:8">
      <c r="A151" t="str">
        <f>'Cleaned Data'!A151</f>
        <v>STR-1038</v>
      </c>
      <c r="B151" s="3">
        <f>'Cleaned Data'!B151</f>
        <v>45689</v>
      </c>
      <c r="C151">
        <f>IF('Cleaned Data'!C151="West", 1, 0)</f>
        <v>0</v>
      </c>
      <c r="D151">
        <f>IF('Cleaned Data'!C151="North", 1, 0)</f>
        <v>0</v>
      </c>
      <c r="E151">
        <f>IF('Cleaned Data'!C151="South", 1, 0)</f>
        <v>1</v>
      </c>
      <c r="F151">
        <f>IF('Cleaned Data'!D151="High Street", 1, 0)</f>
        <v>0</v>
      </c>
      <c r="G151">
        <f>IF('Cleaned Data'!D151="Residential", 1, 0)</f>
        <v>0</v>
      </c>
      <c r="H151">
        <f>IF('Cleaned Data'!D151="Airport", 1, 0)</f>
        <v>0</v>
      </c>
    </row>
    <row r="152" spans="1:8">
      <c r="A152" t="str">
        <f>'Cleaned Data'!A152</f>
        <v>STR-1038</v>
      </c>
      <c r="B152" s="3">
        <f>'Cleaned Data'!B152</f>
        <v>45717</v>
      </c>
      <c r="C152">
        <f>IF('Cleaned Data'!C152="West", 1, 0)</f>
        <v>0</v>
      </c>
      <c r="D152">
        <f>IF('Cleaned Data'!C152="North", 1, 0)</f>
        <v>0</v>
      </c>
      <c r="E152">
        <f>IF('Cleaned Data'!C152="South", 1, 0)</f>
        <v>1</v>
      </c>
      <c r="F152">
        <f>IF('Cleaned Data'!D152="High Street", 1, 0)</f>
        <v>0</v>
      </c>
      <c r="G152">
        <f>IF('Cleaned Data'!D152="Residential", 1, 0)</f>
        <v>0</v>
      </c>
      <c r="H152">
        <f>IF('Cleaned Data'!D152="Airport", 1, 0)</f>
        <v>0</v>
      </c>
    </row>
    <row r="153" spans="1:8">
      <c r="A153" t="str">
        <f>'Cleaned Data'!A153</f>
        <v>STR-1038</v>
      </c>
      <c r="B153" s="3">
        <f>'Cleaned Data'!B153</f>
        <v>45748</v>
      </c>
      <c r="C153">
        <f>IF('Cleaned Data'!C153="West", 1, 0)</f>
        <v>0</v>
      </c>
      <c r="D153">
        <f>IF('Cleaned Data'!C153="North", 1, 0)</f>
        <v>0</v>
      </c>
      <c r="E153">
        <f>IF('Cleaned Data'!C153="South", 1, 0)</f>
        <v>1</v>
      </c>
      <c r="F153">
        <f>IF('Cleaned Data'!D153="High Street", 1, 0)</f>
        <v>0</v>
      </c>
      <c r="G153">
        <f>IF('Cleaned Data'!D153="Residential", 1, 0)</f>
        <v>0</v>
      </c>
      <c r="H153">
        <f>IF('Cleaned Data'!D153="Airport", 1, 0)</f>
        <v>0</v>
      </c>
    </row>
    <row r="154" spans="1:8">
      <c r="A154" t="str">
        <f>'Cleaned Data'!A154</f>
        <v>STR-1039</v>
      </c>
      <c r="B154" s="3">
        <f>'Cleaned Data'!B154</f>
        <v>45658</v>
      </c>
      <c r="C154">
        <f>IF('Cleaned Data'!C154="West", 1, 0)</f>
        <v>0</v>
      </c>
      <c r="D154">
        <f>IF('Cleaned Data'!C154="North", 1, 0)</f>
        <v>0</v>
      </c>
      <c r="E154">
        <f>IF('Cleaned Data'!C154="South", 1, 0)</f>
        <v>0</v>
      </c>
      <c r="F154">
        <f>IF('Cleaned Data'!D154="High Street", 1, 0)</f>
        <v>1</v>
      </c>
      <c r="G154">
        <f>IF('Cleaned Data'!D154="Residential", 1, 0)</f>
        <v>0</v>
      </c>
      <c r="H154">
        <f>IF('Cleaned Data'!D154="Airport", 1, 0)</f>
        <v>0</v>
      </c>
    </row>
    <row r="155" spans="1:8">
      <c r="A155" t="str">
        <f>'Cleaned Data'!A155</f>
        <v>STR-1039</v>
      </c>
      <c r="B155" s="3">
        <f>'Cleaned Data'!B155</f>
        <v>45689</v>
      </c>
      <c r="C155">
        <f>IF('Cleaned Data'!C155="West", 1, 0)</f>
        <v>0</v>
      </c>
      <c r="D155">
        <f>IF('Cleaned Data'!C155="North", 1, 0)</f>
        <v>0</v>
      </c>
      <c r="E155">
        <f>IF('Cleaned Data'!C155="South", 1, 0)</f>
        <v>0</v>
      </c>
      <c r="F155">
        <f>IF('Cleaned Data'!D155="High Street", 1, 0)</f>
        <v>1</v>
      </c>
      <c r="G155">
        <f>IF('Cleaned Data'!D155="Residential", 1, 0)</f>
        <v>0</v>
      </c>
      <c r="H155">
        <f>IF('Cleaned Data'!D155="Airport", 1, 0)</f>
        <v>0</v>
      </c>
    </row>
    <row r="156" spans="1:8">
      <c r="A156" t="str">
        <f>'Cleaned Data'!A156</f>
        <v>STR-1039</v>
      </c>
      <c r="B156" s="3">
        <f>'Cleaned Data'!B156</f>
        <v>45717</v>
      </c>
      <c r="C156">
        <f>IF('Cleaned Data'!C156="West", 1, 0)</f>
        <v>0</v>
      </c>
      <c r="D156">
        <f>IF('Cleaned Data'!C156="North", 1, 0)</f>
        <v>0</v>
      </c>
      <c r="E156">
        <f>IF('Cleaned Data'!C156="South", 1, 0)</f>
        <v>0</v>
      </c>
      <c r="F156">
        <f>IF('Cleaned Data'!D156="High Street", 1, 0)</f>
        <v>1</v>
      </c>
      <c r="G156">
        <f>IF('Cleaned Data'!D156="Residential", 1, 0)</f>
        <v>0</v>
      </c>
      <c r="H156">
        <f>IF('Cleaned Data'!D156="Airport", 1, 0)</f>
        <v>0</v>
      </c>
    </row>
    <row r="157" spans="1:8">
      <c r="A157" t="str">
        <f>'Cleaned Data'!A157</f>
        <v>STR-1039</v>
      </c>
      <c r="B157" s="3">
        <f>'Cleaned Data'!B157</f>
        <v>45748</v>
      </c>
      <c r="C157">
        <f>IF('Cleaned Data'!C157="West", 1, 0)</f>
        <v>0</v>
      </c>
      <c r="D157">
        <f>IF('Cleaned Data'!C157="North", 1, 0)</f>
        <v>0</v>
      </c>
      <c r="E157">
        <f>IF('Cleaned Data'!C157="South", 1, 0)</f>
        <v>0</v>
      </c>
      <c r="F157">
        <f>IF('Cleaned Data'!D157="High Street", 1, 0)</f>
        <v>1</v>
      </c>
      <c r="G157">
        <f>IF('Cleaned Data'!D157="Residential", 1, 0)</f>
        <v>0</v>
      </c>
      <c r="H157">
        <f>IF('Cleaned Data'!D157="Airport", 1, 0)</f>
        <v>0</v>
      </c>
    </row>
    <row r="158" spans="1:8">
      <c r="A158" t="str">
        <f>'Cleaned Data'!A158</f>
        <v>STR-1040</v>
      </c>
      <c r="B158" s="3">
        <f>'Cleaned Data'!B158</f>
        <v>45658</v>
      </c>
      <c r="C158">
        <f>IF('Cleaned Data'!C158="West", 1, 0)</f>
        <v>0</v>
      </c>
      <c r="D158">
        <f>IF('Cleaned Data'!C158="North", 1, 0)</f>
        <v>1</v>
      </c>
      <c r="E158">
        <f>IF('Cleaned Data'!C158="South", 1, 0)</f>
        <v>0</v>
      </c>
      <c r="F158">
        <f>IF('Cleaned Data'!D158="High Street", 1, 0)</f>
        <v>0</v>
      </c>
      <c r="G158">
        <f>IF('Cleaned Data'!D158="Residential", 1, 0)</f>
        <v>0</v>
      </c>
      <c r="H158">
        <f>IF('Cleaned Data'!D158="Airport", 1, 0)</f>
        <v>0</v>
      </c>
    </row>
    <row r="159" spans="1:8">
      <c r="A159" t="str">
        <f>'Cleaned Data'!A159</f>
        <v>STR-1040</v>
      </c>
      <c r="B159" s="3">
        <f>'Cleaned Data'!B159</f>
        <v>45689</v>
      </c>
      <c r="C159">
        <f>IF('Cleaned Data'!C159="West", 1, 0)</f>
        <v>0</v>
      </c>
      <c r="D159">
        <f>IF('Cleaned Data'!C159="North", 1, 0)</f>
        <v>1</v>
      </c>
      <c r="E159">
        <f>IF('Cleaned Data'!C159="South", 1, 0)</f>
        <v>0</v>
      </c>
      <c r="F159">
        <f>IF('Cleaned Data'!D159="High Street", 1, 0)</f>
        <v>0</v>
      </c>
      <c r="G159">
        <f>IF('Cleaned Data'!D159="Residential", 1, 0)</f>
        <v>0</v>
      </c>
      <c r="H159">
        <f>IF('Cleaned Data'!D159="Airport", 1, 0)</f>
        <v>0</v>
      </c>
    </row>
    <row r="160" spans="1:8">
      <c r="A160" t="str">
        <f>'Cleaned Data'!A160</f>
        <v>STR-1040</v>
      </c>
      <c r="B160" s="3">
        <f>'Cleaned Data'!B160</f>
        <v>45717</v>
      </c>
      <c r="C160">
        <f>IF('Cleaned Data'!C160="West", 1, 0)</f>
        <v>0</v>
      </c>
      <c r="D160">
        <f>IF('Cleaned Data'!C160="North", 1, 0)</f>
        <v>1</v>
      </c>
      <c r="E160">
        <f>IF('Cleaned Data'!C160="South", 1, 0)</f>
        <v>0</v>
      </c>
      <c r="F160">
        <f>IF('Cleaned Data'!D160="High Street", 1, 0)</f>
        <v>0</v>
      </c>
      <c r="G160">
        <f>IF('Cleaned Data'!D160="Residential", 1, 0)</f>
        <v>0</v>
      </c>
      <c r="H160">
        <f>IF('Cleaned Data'!D160="Airport", 1, 0)</f>
        <v>0</v>
      </c>
    </row>
    <row r="161" spans="1:8">
      <c r="A161" t="str">
        <f>'Cleaned Data'!A161</f>
        <v>STR-1040</v>
      </c>
      <c r="B161" s="3">
        <f>'Cleaned Data'!B161</f>
        <v>45748</v>
      </c>
      <c r="C161">
        <f>IF('Cleaned Data'!C161="West", 1, 0)</f>
        <v>0</v>
      </c>
      <c r="D161">
        <f>IF('Cleaned Data'!C161="North", 1, 0)</f>
        <v>1</v>
      </c>
      <c r="E161">
        <f>IF('Cleaned Data'!C161="South", 1, 0)</f>
        <v>0</v>
      </c>
      <c r="F161">
        <f>IF('Cleaned Data'!D161="High Street", 1, 0)</f>
        <v>0</v>
      </c>
      <c r="G161">
        <f>IF('Cleaned Data'!D161="Residential", 1, 0)</f>
        <v>0</v>
      </c>
      <c r="H161">
        <f>IF('Cleaned Data'!D161="Airport", 1, 0)</f>
        <v>0</v>
      </c>
    </row>
    <row r="162" spans="1:8">
      <c r="A162" t="str">
        <f>'Cleaned Data'!A162</f>
        <v>STR-1041</v>
      </c>
      <c r="B162" s="3">
        <f>'Cleaned Data'!B162</f>
        <v>45658</v>
      </c>
      <c r="C162">
        <f>IF('Cleaned Data'!C162="West", 1, 0)</f>
        <v>0</v>
      </c>
      <c r="D162">
        <f>IF('Cleaned Data'!C162="North", 1, 0)</f>
        <v>0</v>
      </c>
      <c r="E162">
        <f>IF('Cleaned Data'!C162="South", 1, 0)</f>
        <v>1</v>
      </c>
      <c r="F162">
        <f>IF('Cleaned Data'!D162="High Street", 1, 0)</f>
        <v>1</v>
      </c>
      <c r="G162">
        <f>IF('Cleaned Data'!D162="Residential", 1, 0)</f>
        <v>0</v>
      </c>
      <c r="H162">
        <f>IF('Cleaned Data'!D162="Airport", 1, 0)</f>
        <v>0</v>
      </c>
    </row>
    <row r="163" spans="1:8">
      <c r="A163" t="str">
        <f>'Cleaned Data'!A163</f>
        <v>STR-1041</v>
      </c>
      <c r="B163" s="3">
        <f>'Cleaned Data'!B163</f>
        <v>45689</v>
      </c>
      <c r="C163">
        <f>IF('Cleaned Data'!C163="West", 1, 0)</f>
        <v>0</v>
      </c>
      <c r="D163">
        <f>IF('Cleaned Data'!C163="North", 1, 0)</f>
        <v>0</v>
      </c>
      <c r="E163">
        <f>IF('Cleaned Data'!C163="South", 1, 0)</f>
        <v>1</v>
      </c>
      <c r="F163">
        <f>IF('Cleaned Data'!D163="High Street", 1, 0)</f>
        <v>1</v>
      </c>
      <c r="G163">
        <f>IF('Cleaned Data'!D163="Residential", 1, 0)</f>
        <v>0</v>
      </c>
      <c r="H163">
        <f>IF('Cleaned Data'!D163="Airport", 1, 0)</f>
        <v>0</v>
      </c>
    </row>
    <row r="164" spans="1:8">
      <c r="A164" t="str">
        <f>'Cleaned Data'!A164</f>
        <v>STR-1041</v>
      </c>
      <c r="B164" s="3">
        <f>'Cleaned Data'!B164</f>
        <v>45717</v>
      </c>
      <c r="C164">
        <f>IF('Cleaned Data'!C164="West", 1, 0)</f>
        <v>0</v>
      </c>
      <c r="D164">
        <f>IF('Cleaned Data'!C164="North", 1, 0)</f>
        <v>0</v>
      </c>
      <c r="E164">
        <f>IF('Cleaned Data'!C164="South", 1, 0)</f>
        <v>1</v>
      </c>
      <c r="F164">
        <f>IF('Cleaned Data'!D164="High Street", 1, 0)</f>
        <v>1</v>
      </c>
      <c r="G164">
        <f>IF('Cleaned Data'!D164="Residential", 1, 0)</f>
        <v>0</v>
      </c>
      <c r="H164">
        <f>IF('Cleaned Data'!D164="Airport", 1, 0)</f>
        <v>0</v>
      </c>
    </row>
    <row r="165" spans="1:8">
      <c r="A165" t="str">
        <f>'Cleaned Data'!A165</f>
        <v>STR-1041</v>
      </c>
      <c r="B165" s="3">
        <f>'Cleaned Data'!B165</f>
        <v>45748</v>
      </c>
      <c r="C165">
        <f>IF('Cleaned Data'!C165="West", 1, 0)</f>
        <v>0</v>
      </c>
      <c r="D165">
        <f>IF('Cleaned Data'!C165="North", 1, 0)</f>
        <v>0</v>
      </c>
      <c r="E165">
        <f>IF('Cleaned Data'!C165="South", 1, 0)</f>
        <v>1</v>
      </c>
      <c r="F165">
        <f>IF('Cleaned Data'!D165="High Street", 1, 0)</f>
        <v>1</v>
      </c>
      <c r="G165">
        <f>IF('Cleaned Data'!D165="Residential", 1, 0)</f>
        <v>0</v>
      </c>
      <c r="H165">
        <f>IF('Cleaned Data'!D165="Airport", 1, 0)</f>
        <v>0</v>
      </c>
    </row>
    <row r="166" spans="1:8">
      <c r="A166" t="str">
        <f>'Cleaned Data'!A166</f>
        <v>STR-1042</v>
      </c>
      <c r="B166" s="3">
        <f>'Cleaned Data'!B166</f>
        <v>45658</v>
      </c>
      <c r="C166">
        <f>IF('Cleaned Data'!C166="West", 1, 0)</f>
        <v>0</v>
      </c>
      <c r="D166">
        <f>IF('Cleaned Data'!C166="North", 1, 0)</f>
        <v>1</v>
      </c>
      <c r="E166">
        <f>IF('Cleaned Data'!C166="South", 1, 0)</f>
        <v>0</v>
      </c>
      <c r="F166">
        <f>IF('Cleaned Data'!D166="High Street", 1, 0)</f>
        <v>0</v>
      </c>
      <c r="G166">
        <f>IF('Cleaned Data'!D166="Residential", 1, 0)</f>
        <v>0</v>
      </c>
      <c r="H166">
        <f>IF('Cleaned Data'!D166="Airport", 1, 0)</f>
        <v>0</v>
      </c>
    </row>
    <row r="167" spans="1:8">
      <c r="A167" t="str">
        <f>'Cleaned Data'!A167</f>
        <v>STR-1042</v>
      </c>
      <c r="B167" s="3">
        <f>'Cleaned Data'!B167</f>
        <v>45689</v>
      </c>
      <c r="C167">
        <f>IF('Cleaned Data'!C167="West", 1, 0)</f>
        <v>0</v>
      </c>
      <c r="D167">
        <f>IF('Cleaned Data'!C167="North", 1, 0)</f>
        <v>1</v>
      </c>
      <c r="E167">
        <f>IF('Cleaned Data'!C167="South", 1, 0)</f>
        <v>0</v>
      </c>
      <c r="F167">
        <f>IF('Cleaned Data'!D167="High Street", 1, 0)</f>
        <v>0</v>
      </c>
      <c r="G167">
        <f>IF('Cleaned Data'!D167="Residential", 1, 0)</f>
        <v>0</v>
      </c>
      <c r="H167">
        <f>IF('Cleaned Data'!D167="Airport", 1, 0)</f>
        <v>0</v>
      </c>
    </row>
    <row r="168" spans="1:8">
      <c r="A168" t="str">
        <f>'Cleaned Data'!A168</f>
        <v>STR-1042</v>
      </c>
      <c r="B168" s="3">
        <f>'Cleaned Data'!B168</f>
        <v>45717</v>
      </c>
      <c r="C168">
        <f>IF('Cleaned Data'!C168="West", 1, 0)</f>
        <v>0</v>
      </c>
      <c r="D168">
        <f>IF('Cleaned Data'!C168="North", 1, 0)</f>
        <v>1</v>
      </c>
      <c r="E168">
        <f>IF('Cleaned Data'!C168="South", 1, 0)</f>
        <v>0</v>
      </c>
      <c r="F168">
        <f>IF('Cleaned Data'!D168="High Street", 1, 0)</f>
        <v>0</v>
      </c>
      <c r="G168">
        <f>IF('Cleaned Data'!D168="Residential", 1, 0)</f>
        <v>0</v>
      </c>
      <c r="H168">
        <f>IF('Cleaned Data'!D168="Airport", 1, 0)</f>
        <v>0</v>
      </c>
    </row>
    <row r="169" spans="1:8">
      <c r="A169" t="str">
        <f>'Cleaned Data'!A169</f>
        <v>STR-1042</v>
      </c>
      <c r="B169" s="3">
        <f>'Cleaned Data'!B169</f>
        <v>45748</v>
      </c>
      <c r="C169">
        <f>IF('Cleaned Data'!C169="West", 1, 0)</f>
        <v>0</v>
      </c>
      <c r="D169">
        <f>IF('Cleaned Data'!C169="North", 1, 0)</f>
        <v>1</v>
      </c>
      <c r="E169">
        <f>IF('Cleaned Data'!C169="South", 1, 0)</f>
        <v>0</v>
      </c>
      <c r="F169">
        <f>IF('Cleaned Data'!D169="High Street", 1, 0)</f>
        <v>0</v>
      </c>
      <c r="G169">
        <f>IF('Cleaned Data'!D169="Residential", 1, 0)</f>
        <v>0</v>
      </c>
      <c r="H169">
        <f>IF('Cleaned Data'!D169="Airport", 1, 0)</f>
        <v>0</v>
      </c>
    </row>
    <row r="170" spans="1:8">
      <c r="A170" t="str">
        <f>'Cleaned Data'!A170</f>
        <v>STR-1043</v>
      </c>
      <c r="B170" s="3">
        <f>'Cleaned Data'!B170</f>
        <v>45658</v>
      </c>
      <c r="C170">
        <f>IF('Cleaned Data'!C170="West", 1, 0)</f>
        <v>0</v>
      </c>
      <c r="D170">
        <f>IF('Cleaned Data'!C170="North", 1, 0)</f>
        <v>0</v>
      </c>
      <c r="E170">
        <f>IF('Cleaned Data'!C170="South", 1, 0)</f>
        <v>0</v>
      </c>
      <c r="F170">
        <f>IF('Cleaned Data'!D170="High Street", 1, 0)</f>
        <v>0</v>
      </c>
      <c r="G170">
        <f>IF('Cleaned Data'!D170="Residential", 1, 0)</f>
        <v>1</v>
      </c>
      <c r="H170">
        <f>IF('Cleaned Data'!D170="Airport", 1, 0)</f>
        <v>0</v>
      </c>
    </row>
    <row r="171" spans="1:8">
      <c r="A171" t="str">
        <f>'Cleaned Data'!A171</f>
        <v>STR-1043</v>
      </c>
      <c r="B171" s="3">
        <f>'Cleaned Data'!B171</f>
        <v>45689</v>
      </c>
      <c r="C171">
        <f>IF('Cleaned Data'!C171="West", 1, 0)</f>
        <v>0</v>
      </c>
      <c r="D171">
        <f>IF('Cleaned Data'!C171="North", 1, 0)</f>
        <v>0</v>
      </c>
      <c r="E171">
        <f>IF('Cleaned Data'!C171="South", 1, 0)</f>
        <v>0</v>
      </c>
      <c r="F171">
        <f>IF('Cleaned Data'!D171="High Street", 1, 0)</f>
        <v>0</v>
      </c>
      <c r="G171">
        <f>IF('Cleaned Data'!D171="Residential", 1, 0)</f>
        <v>1</v>
      </c>
      <c r="H171">
        <f>IF('Cleaned Data'!D171="Airport", 1, 0)</f>
        <v>0</v>
      </c>
    </row>
    <row r="172" spans="1:8">
      <c r="A172" t="str">
        <f>'Cleaned Data'!A172</f>
        <v>STR-1043</v>
      </c>
      <c r="B172" s="3">
        <f>'Cleaned Data'!B172</f>
        <v>45717</v>
      </c>
      <c r="C172">
        <f>IF('Cleaned Data'!C172="West", 1, 0)</f>
        <v>0</v>
      </c>
      <c r="D172">
        <f>IF('Cleaned Data'!C172="North", 1, 0)</f>
        <v>0</v>
      </c>
      <c r="E172">
        <f>IF('Cleaned Data'!C172="South", 1, 0)</f>
        <v>0</v>
      </c>
      <c r="F172">
        <f>IF('Cleaned Data'!D172="High Street", 1, 0)</f>
        <v>0</v>
      </c>
      <c r="G172">
        <f>IF('Cleaned Data'!D172="Residential", 1, 0)</f>
        <v>1</v>
      </c>
      <c r="H172">
        <f>IF('Cleaned Data'!D172="Airport", 1, 0)</f>
        <v>0</v>
      </c>
    </row>
    <row r="173" spans="1:8">
      <c r="A173" t="str">
        <f>'Cleaned Data'!A173</f>
        <v>STR-1043</v>
      </c>
      <c r="B173" s="3">
        <f>'Cleaned Data'!B173</f>
        <v>45748</v>
      </c>
      <c r="C173">
        <f>IF('Cleaned Data'!C173="West", 1, 0)</f>
        <v>0</v>
      </c>
      <c r="D173">
        <f>IF('Cleaned Data'!C173="North", 1, 0)</f>
        <v>0</v>
      </c>
      <c r="E173">
        <f>IF('Cleaned Data'!C173="South", 1, 0)</f>
        <v>0</v>
      </c>
      <c r="F173">
        <f>IF('Cleaned Data'!D173="High Street", 1, 0)</f>
        <v>0</v>
      </c>
      <c r="G173">
        <f>IF('Cleaned Data'!D173="Residential", 1, 0)</f>
        <v>1</v>
      </c>
      <c r="H173">
        <f>IF('Cleaned Data'!D173="Airport", 1, 0)</f>
        <v>0</v>
      </c>
    </row>
    <row r="174" spans="1:8">
      <c r="A174" t="str">
        <f>'Cleaned Data'!A174</f>
        <v>STR-1044</v>
      </c>
      <c r="B174" s="3">
        <f>'Cleaned Data'!B174</f>
        <v>45658</v>
      </c>
      <c r="C174">
        <f>IF('Cleaned Data'!C174="West", 1, 0)</f>
        <v>0</v>
      </c>
      <c r="D174">
        <f>IF('Cleaned Data'!C174="North", 1, 0)</f>
        <v>0</v>
      </c>
      <c r="E174">
        <f>IF('Cleaned Data'!C174="South", 1, 0)</f>
        <v>0</v>
      </c>
      <c r="F174">
        <f>IF('Cleaned Data'!D174="High Street", 1, 0)</f>
        <v>0</v>
      </c>
      <c r="G174">
        <f>IF('Cleaned Data'!D174="Residential", 1, 0)</f>
        <v>1</v>
      </c>
      <c r="H174">
        <f>IF('Cleaned Data'!D174="Airport", 1, 0)</f>
        <v>0</v>
      </c>
    </row>
    <row r="175" spans="1:8">
      <c r="A175" t="str">
        <f>'Cleaned Data'!A175</f>
        <v>STR-1044</v>
      </c>
      <c r="B175" s="3">
        <f>'Cleaned Data'!B175</f>
        <v>45689</v>
      </c>
      <c r="C175">
        <f>IF('Cleaned Data'!C175="West", 1, 0)</f>
        <v>0</v>
      </c>
      <c r="D175">
        <f>IF('Cleaned Data'!C175="North", 1, 0)</f>
        <v>0</v>
      </c>
      <c r="E175">
        <f>IF('Cleaned Data'!C175="South", 1, 0)</f>
        <v>0</v>
      </c>
      <c r="F175">
        <f>IF('Cleaned Data'!D175="High Street", 1, 0)</f>
        <v>0</v>
      </c>
      <c r="G175">
        <f>IF('Cleaned Data'!D175="Residential", 1, 0)</f>
        <v>1</v>
      </c>
      <c r="H175">
        <f>IF('Cleaned Data'!D175="Airport", 1, 0)</f>
        <v>0</v>
      </c>
    </row>
    <row r="176" spans="1:8">
      <c r="A176" t="str">
        <f>'Cleaned Data'!A176</f>
        <v>STR-1044</v>
      </c>
      <c r="B176" s="3">
        <f>'Cleaned Data'!B176</f>
        <v>45717</v>
      </c>
      <c r="C176">
        <f>IF('Cleaned Data'!C176="West", 1, 0)</f>
        <v>0</v>
      </c>
      <c r="D176">
        <f>IF('Cleaned Data'!C176="North", 1, 0)</f>
        <v>0</v>
      </c>
      <c r="E176">
        <f>IF('Cleaned Data'!C176="South", 1, 0)</f>
        <v>0</v>
      </c>
      <c r="F176">
        <f>IF('Cleaned Data'!D176="High Street", 1, 0)</f>
        <v>0</v>
      </c>
      <c r="G176">
        <f>IF('Cleaned Data'!D176="Residential", 1, 0)</f>
        <v>1</v>
      </c>
      <c r="H176">
        <f>IF('Cleaned Data'!D176="Airport", 1, 0)</f>
        <v>0</v>
      </c>
    </row>
    <row r="177" spans="1:8">
      <c r="A177" t="str">
        <f>'Cleaned Data'!A177</f>
        <v>STR-1044</v>
      </c>
      <c r="B177" s="3">
        <f>'Cleaned Data'!B177</f>
        <v>45748</v>
      </c>
      <c r="C177">
        <f>IF('Cleaned Data'!C177="West", 1, 0)</f>
        <v>0</v>
      </c>
      <c r="D177">
        <f>IF('Cleaned Data'!C177="North", 1, 0)</f>
        <v>0</v>
      </c>
      <c r="E177">
        <f>IF('Cleaned Data'!C177="South", 1, 0)</f>
        <v>0</v>
      </c>
      <c r="F177">
        <f>IF('Cleaned Data'!D177="High Street", 1, 0)</f>
        <v>0</v>
      </c>
      <c r="G177">
        <f>IF('Cleaned Data'!D177="Residential", 1, 0)</f>
        <v>1</v>
      </c>
      <c r="H177">
        <f>IF('Cleaned Data'!D177="Airport", 1, 0)</f>
        <v>0</v>
      </c>
    </row>
    <row r="178" spans="1:8">
      <c r="A178" t="str">
        <f>'Cleaned Data'!A178</f>
        <v>STR-1045</v>
      </c>
      <c r="B178" s="3">
        <f>'Cleaned Data'!B178</f>
        <v>45658</v>
      </c>
      <c r="C178">
        <f>IF('Cleaned Data'!C178="West", 1, 0)</f>
        <v>1</v>
      </c>
      <c r="D178">
        <f>IF('Cleaned Data'!C178="North", 1, 0)</f>
        <v>0</v>
      </c>
      <c r="E178">
        <f>IF('Cleaned Data'!C178="South", 1, 0)</f>
        <v>0</v>
      </c>
      <c r="F178">
        <f>IF('Cleaned Data'!D178="High Street", 1, 0)</f>
        <v>0</v>
      </c>
      <c r="G178">
        <f>IF('Cleaned Data'!D178="Residential", 1, 0)</f>
        <v>0</v>
      </c>
      <c r="H178">
        <f>IF('Cleaned Data'!D178="Airport", 1, 0)</f>
        <v>1</v>
      </c>
    </row>
    <row r="179" spans="1:8">
      <c r="A179" t="str">
        <f>'Cleaned Data'!A179</f>
        <v>STR-1045</v>
      </c>
      <c r="B179" s="3">
        <f>'Cleaned Data'!B179</f>
        <v>45689</v>
      </c>
      <c r="C179">
        <f>IF('Cleaned Data'!C179="West", 1, 0)</f>
        <v>1</v>
      </c>
      <c r="D179">
        <f>IF('Cleaned Data'!C179="North", 1, 0)</f>
        <v>0</v>
      </c>
      <c r="E179">
        <f>IF('Cleaned Data'!C179="South", 1, 0)</f>
        <v>0</v>
      </c>
      <c r="F179">
        <f>IF('Cleaned Data'!D179="High Street", 1, 0)</f>
        <v>0</v>
      </c>
      <c r="G179">
        <f>IF('Cleaned Data'!D179="Residential", 1, 0)</f>
        <v>0</v>
      </c>
      <c r="H179">
        <f>IF('Cleaned Data'!D179="Airport", 1, 0)</f>
        <v>1</v>
      </c>
    </row>
    <row r="180" spans="1:8">
      <c r="A180" t="str">
        <f>'Cleaned Data'!A180</f>
        <v>STR-1045</v>
      </c>
      <c r="B180" s="3">
        <f>'Cleaned Data'!B180</f>
        <v>45717</v>
      </c>
      <c r="C180">
        <f>IF('Cleaned Data'!C180="West", 1, 0)</f>
        <v>1</v>
      </c>
      <c r="D180">
        <f>IF('Cleaned Data'!C180="North", 1, 0)</f>
        <v>0</v>
      </c>
      <c r="E180">
        <f>IF('Cleaned Data'!C180="South", 1, 0)</f>
        <v>0</v>
      </c>
      <c r="F180">
        <f>IF('Cleaned Data'!D180="High Street", 1, 0)</f>
        <v>0</v>
      </c>
      <c r="G180">
        <f>IF('Cleaned Data'!D180="Residential", 1, 0)</f>
        <v>0</v>
      </c>
      <c r="H180">
        <f>IF('Cleaned Data'!D180="Airport", 1, 0)</f>
        <v>1</v>
      </c>
    </row>
    <row r="181" spans="1:8">
      <c r="A181" t="str">
        <f>'Cleaned Data'!A181</f>
        <v>STR-1045</v>
      </c>
      <c r="B181" s="3">
        <f>'Cleaned Data'!B181</f>
        <v>45748</v>
      </c>
      <c r="C181">
        <f>IF('Cleaned Data'!C181="West", 1, 0)</f>
        <v>1</v>
      </c>
      <c r="D181">
        <f>IF('Cleaned Data'!C181="North", 1, 0)</f>
        <v>0</v>
      </c>
      <c r="E181">
        <f>IF('Cleaned Data'!C181="South", 1, 0)</f>
        <v>0</v>
      </c>
      <c r="F181">
        <f>IF('Cleaned Data'!D181="High Street", 1, 0)</f>
        <v>0</v>
      </c>
      <c r="G181">
        <f>IF('Cleaned Data'!D181="Residential", 1, 0)</f>
        <v>0</v>
      </c>
      <c r="H181">
        <f>IF('Cleaned Data'!D181="Airport", 1, 0)</f>
        <v>1</v>
      </c>
    </row>
    <row r="182" spans="1:8">
      <c r="A182" t="str">
        <f>'Cleaned Data'!A182</f>
        <v>STR-1046</v>
      </c>
      <c r="B182" s="3">
        <f>'Cleaned Data'!B182</f>
        <v>45658</v>
      </c>
      <c r="C182">
        <f>IF('Cleaned Data'!C182="West", 1, 0)</f>
        <v>1</v>
      </c>
      <c r="D182">
        <f>IF('Cleaned Data'!C182="North", 1, 0)</f>
        <v>0</v>
      </c>
      <c r="E182">
        <f>IF('Cleaned Data'!C182="South", 1, 0)</f>
        <v>0</v>
      </c>
      <c r="F182">
        <f>IF('Cleaned Data'!D182="High Street", 1, 0)</f>
        <v>0</v>
      </c>
      <c r="G182">
        <f>IF('Cleaned Data'!D182="Residential", 1, 0)</f>
        <v>1</v>
      </c>
      <c r="H182">
        <f>IF('Cleaned Data'!D182="Airport", 1, 0)</f>
        <v>0</v>
      </c>
    </row>
    <row r="183" spans="1:8">
      <c r="A183" t="str">
        <f>'Cleaned Data'!A183</f>
        <v>STR-1046</v>
      </c>
      <c r="B183" s="3">
        <f>'Cleaned Data'!B183</f>
        <v>45689</v>
      </c>
      <c r="C183">
        <f>IF('Cleaned Data'!C183="West", 1, 0)</f>
        <v>1</v>
      </c>
      <c r="D183">
        <f>IF('Cleaned Data'!C183="North", 1, 0)</f>
        <v>0</v>
      </c>
      <c r="E183">
        <f>IF('Cleaned Data'!C183="South", 1, 0)</f>
        <v>0</v>
      </c>
      <c r="F183">
        <f>IF('Cleaned Data'!D183="High Street", 1, 0)</f>
        <v>0</v>
      </c>
      <c r="G183">
        <f>IF('Cleaned Data'!D183="Residential", 1, 0)</f>
        <v>1</v>
      </c>
      <c r="H183">
        <f>IF('Cleaned Data'!D183="Airport", 1, 0)</f>
        <v>0</v>
      </c>
    </row>
    <row r="184" spans="1:8">
      <c r="A184" t="str">
        <f>'Cleaned Data'!A184</f>
        <v>STR-1046</v>
      </c>
      <c r="B184" s="3">
        <f>'Cleaned Data'!B184</f>
        <v>45717</v>
      </c>
      <c r="C184">
        <f>IF('Cleaned Data'!C184="West", 1, 0)</f>
        <v>1</v>
      </c>
      <c r="D184">
        <f>IF('Cleaned Data'!C184="North", 1, 0)</f>
        <v>0</v>
      </c>
      <c r="E184">
        <f>IF('Cleaned Data'!C184="South", 1, 0)</f>
        <v>0</v>
      </c>
      <c r="F184">
        <f>IF('Cleaned Data'!D184="High Street", 1, 0)</f>
        <v>0</v>
      </c>
      <c r="G184">
        <f>IF('Cleaned Data'!D184="Residential", 1, 0)</f>
        <v>1</v>
      </c>
      <c r="H184">
        <f>IF('Cleaned Data'!D184="Airport", 1, 0)</f>
        <v>0</v>
      </c>
    </row>
    <row r="185" spans="1:8">
      <c r="A185" t="str">
        <f>'Cleaned Data'!A185</f>
        <v>STR-1046</v>
      </c>
      <c r="B185" s="3">
        <f>'Cleaned Data'!B185</f>
        <v>45748</v>
      </c>
      <c r="C185">
        <f>IF('Cleaned Data'!C185="West", 1, 0)</f>
        <v>1</v>
      </c>
      <c r="D185">
        <f>IF('Cleaned Data'!C185="North", 1, 0)</f>
        <v>0</v>
      </c>
      <c r="E185">
        <f>IF('Cleaned Data'!C185="South", 1, 0)</f>
        <v>0</v>
      </c>
      <c r="F185">
        <f>IF('Cleaned Data'!D185="High Street", 1, 0)</f>
        <v>0</v>
      </c>
      <c r="G185">
        <f>IF('Cleaned Data'!D185="Residential", 1, 0)</f>
        <v>1</v>
      </c>
      <c r="H185">
        <f>IF('Cleaned Data'!D185="Airport", 1, 0)</f>
        <v>0</v>
      </c>
    </row>
    <row r="186" spans="1:8">
      <c r="A186" t="str">
        <f>'Cleaned Data'!A186</f>
        <v>STR-1047</v>
      </c>
      <c r="B186" s="3">
        <f>'Cleaned Data'!B186</f>
        <v>45658</v>
      </c>
      <c r="C186">
        <f>IF('Cleaned Data'!C186="West", 1, 0)</f>
        <v>0</v>
      </c>
      <c r="D186">
        <f>IF('Cleaned Data'!C186="North", 1, 0)</f>
        <v>1</v>
      </c>
      <c r="E186">
        <f>IF('Cleaned Data'!C186="South", 1, 0)</f>
        <v>0</v>
      </c>
      <c r="F186">
        <f>IF('Cleaned Data'!D186="High Street", 1, 0)</f>
        <v>1</v>
      </c>
      <c r="G186">
        <f>IF('Cleaned Data'!D186="Residential", 1, 0)</f>
        <v>0</v>
      </c>
      <c r="H186">
        <f>IF('Cleaned Data'!D186="Airport", 1, 0)</f>
        <v>0</v>
      </c>
    </row>
    <row r="187" spans="1:8">
      <c r="A187" t="str">
        <f>'Cleaned Data'!A187</f>
        <v>STR-1047</v>
      </c>
      <c r="B187" s="3">
        <f>'Cleaned Data'!B187</f>
        <v>45689</v>
      </c>
      <c r="C187">
        <f>IF('Cleaned Data'!C187="West", 1, 0)</f>
        <v>0</v>
      </c>
      <c r="D187">
        <f>IF('Cleaned Data'!C187="North", 1, 0)</f>
        <v>1</v>
      </c>
      <c r="E187">
        <f>IF('Cleaned Data'!C187="South", 1, 0)</f>
        <v>0</v>
      </c>
      <c r="F187">
        <f>IF('Cleaned Data'!D187="High Street", 1, 0)</f>
        <v>1</v>
      </c>
      <c r="G187">
        <f>IF('Cleaned Data'!D187="Residential", 1, 0)</f>
        <v>0</v>
      </c>
      <c r="H187">
        <f>IF('Cleaned Data'!D187="Airport", 1, 0)</f>
        <v>0</v>
      </c>
    </row>
    <row r="188" spans="1:8">
      <c r="A188" t="str">
        <f>'Cleaned Data'!A188</f>
        <v>STR-1047</v>
      </c>
      <c r="B188" s="3">
        <f>'Cleaned Data'!B188</f>
        <v>45717</v>
      </c>
      <c r="C188">
        <f>IF('Cleaned Data'!C188="West", 1, 0)</f>
        <v>0</v>
      </c>
      <c r="D188">
        <f>IF('Cleaned Data'!C188="North", 1, 0)</f>
        <v>1</v>
      </c>
      <c r="E188">
        <f>IF('Cleaned Data'!C188="South", 1, 0)</f>
        <v>0</v>
      </c>
      <c r="F188">
        <f>IF('Cleaned Data'!D188="High Street", 1, 0)</f>
        <v>1</v>
      </c>
      <c r="G188">
        <f>IF('Cleaned Data'!D188="Residential", 1, 0)</f>
        <v>0</v>
      </c>
      <c r="H188">
        <f>IF('Cleaned Data'!D188="Airport", 1, 0)</f>
        <v>0</v>
      </c>
    </row>
    <row r="189" spans="1:8">
      <c r="A189" t="str">
        <f>'Cleaned Data'!A189</f>
        <v>STR-1047</v>
      </c>
      <c r="B189" s="3">
        <f>'Cleaned Data'!B189</f>
        <v>45748</v>
      </c>
      <c r="C189">
        <f>IF('Cleaned Data'!C189="West", 1, 0)</f>
        <v>0</v>
      </c>
      <c r="D189">
        <f>IF('Cleaned Data'!C189="North", 1, 0)</f>
        <v>1</v>
      </c>
      <c r="E189">
        <f>IF('Cleaned Data'!C189="South", 1, 0)</f>
        <v>0</v>
      </c>
      <c r="F189">
        <f>IF('Cleaned Data'!D189="High Street", 1, 0)</f>
        <v>1</v>
      </c>
      <c r="G189">
        <f>IF('Cleaned Data'!D189="Residential", 1, 0)</f>
        <v>0</v>
      </c>
      <c r="H189">
        <f>IF('Cleaned Data'!D189="Airport", 1, 0)</f>
        <v>0</v>
      </c>
    </row>
    <row r="190" spans="1:8">
      <c r="A190" t="str">
        <f>'Cleaned Data'!A190</f>
        <v>STR-1048</v>
      </c>
      <c r="B190" s="3">
        <f>'Cleaned Data'!B190</f>
        <v>45658</v>
      </c>
      <c r="C190">
        <f>IF('Cleaned Data'!C190="West", 1, 0)</f>
        <v>0</v>
      </c>
      <c r="D190">
        <f>IF('Cleaned Data'!C190="North", 1, 0)</f>
        <v>0</v>
      </c>
      <c r="E190">
        <f>IF('Cleaned Data'!C190="South", 1, 0)</f>
        <v>0</v>
      </c>
      <c r="F190">
        <f>IF('Cleaned Data'!D190="High Street", 1, 0)</f>
        <v>1</v>
      </c>
      <c r="G190">
        <f>IF('Cleaned Data'!D190="Residential", 1, 0)</f>
        <v>0</v>
      </c>
      <c r="H190">
        <f>IF('Cleaned Data'!D190="Airport", 1, 0)</f>
        <v>0</v>
      </c>
    </row>
    <row r="191" spans="1:8">
      <c r="A191" t="str">
        <f>'Cleaned Data'!A191</f>
        <v>STR-1048</v>
      </c>
      <c r="B191" s="3">
        <f>'Cleaned Data'!B191</f>
        <v>45689</v>
      </c>
      <c r="C191">
        <f>IF('Cleaned Data'!C191="West", 1, 0)</f>
        <v>0</v>
      </c>
      <c r="D191">
        <f>IF('Cleaned Data'!C191="North", 1, 0)</f>
        <v>0</v>
      </c>
      <c r="E191">
        <f>IF('Cleaned Data'!C191="South", 1, 0)</f>
        <v>0</v>
      </c>
      <c r="F191">
        <f>IF('Cleaned Data'!D191="High Street", 1, 0)</f>
        <v>1</v>
      </c>
      <c r="G191">
        <f>IF('Cleaned Data'!D191="Residential", 1, 0)</f>
        <v>0</v>
      </c>
      <c r="H191">
        <f>IF('Cleaned Data'!D191="Airport", 1, 0)</f>
        <v>0</v>
      </c>
    </row>
    <row r="192" spans="1:8">
      <c r="A192" t="str">
        <f>'Cleaned Data'!A192</f>
        <v>STR-1048</v>
      </c>
      <c r="B192" s="3">
        <f>'Cleaned Data'!B192</f>
        <v>45717</v>
      </c>
      <c r="C192">
        <f>IF('Cleaned Data'!C192="West", 1, 0)</f>
        <v>0</v>
      </c>
      <c r="D192">
        <f>IF('Cleaned Data'!C192="North", 1, 0)</f>
        <v>0</v>
      </c>
      <c r="E192">
        <f>IF('Cleaned Data'!C192="South", 1, 0)</f>
        <v>0</v>
      </c>
      <c r="F192">
        <f>IF('Cleaned Data'!D192="High Street", 1, 0)</f>
        <v>1</v>
      </c>
      <c r="G192">
        <f>IF('Cleaned Data'!D192="Residential", 1, 0)</f>
        <v>0</v>
      </c>
      <c r="H192">
        <f>IF('Cleaned Data'!D192="Airport", 1, 0)</f>
        <v>0</v>
      </c>
    </row>
    <row r="193" spans="1:8">
      <c r="A193" t="str">
        <f>'Cleaned Data'!A193</f>
        <v>STR-1048</v>
      </c>
      <c r="B193" s="3">
        <f>'Cleaned Data'!B193</f>
        <v>45748</v>
      </c>
      <c r="C193">
        <f>IF('Cleaned Data'!C193="West", 1, 0)</f>
        <v>0</v>
      </c>
      <c r="D193">
        <f>IF('Cleaned Data'!C193="North", 1, 0)</f>
        <v>0</v>
      </c>
      <c r="E193">
        <f>IF('Cleaned Data'!C193="South", 1, 0)</f>
        <v>0</v>
      </c>
      <c r="F193">
        <f>IF('Cleaned Data'!D193="High Street", 1, 0)</f>
        <v>1</v>
      </c>
      <c r="G193">
        <f>IF('Cleaned Data'!D193="Residential", 1, 0)</f>
        <v>0</v>
      </c>
      <c r="H193">
        <f>IF('Cleaned Data'!D193="Airport", 1, 0)</f>
        <v>0</v>
      </c>
    </row>
    <row r="194" spans="1:8">
      <c r="A194" t="str">
        <f>'Cleaned Data'!A194</f>
        <v>STR-1049</v>
      </c>
      <c r="B194" s="3">
        <f>'Cleaned Data'!B194</f>
        <v>45658</v>
      </c>
      <c r="C194">
        <f>IF('Cleaned Data'!C194="West", 1, 0)</f>
        <v>1</v>
      </c>
      <c r="D194">
        <f>IF('Cleaned Data'!C194="North", 1, 0)</f>
        <v>0</v>
      </c>
      <c r="E194">
        <f>IF('Cleaned Data'!C194="South", 1, 0)</f>
        <v>0</v>
      </c>
      <c r="F194">
        <f>IF('Cleaned Data'!D194="High Street", 1, 0)</f>
        <v>0</v>
      </c>
      <c r="G194">
        <f>IF('Cleaned Data'!D194="Residential", 1, 0)</f>
        <v>1</v>
      </c>
      <c r="H194">
        <f>IF('Cleaned Data'!D194="Airport", 1, 0)</f>
        <v>0</v>
      </c>
    </row>
    <row r="195" spans="1:8">
      <c r="A195" t="str">
        <f>'Cleaned Data'!A195</f>
        <v>STR-1049</v>
      </c>
      <c r="B195" s="3">
        <f>'Cleaned Data'!B195</f>
        <v>45689</v>
      </c>
      <c r="C195">
        <f>IF('Cleaned Data'!C195="West", 1, 0)</f>
        <v>1</v>
      </c>
      <c r="D195">
        <f>IF('Cleaned Data'!C195="North", 1, 0)</f>
        <v>0</v>
      </c>
      <c r="E195">
        <f>IF('Cleaned Data'!C195="South", 1, 0)</f>
        <v>0</v>
      </c>
      <c r="F195">
        <f>IF('Cleaned Data'!D195="High Street", 1, 0)</f>
        <v>0</v>
      </c>
      <c r="G195">
        <f>IF('Cleaned Data'!D195="Residential", 1, 0)</f>
        <v>1</v>
      </c>
      <c r="H195">
        <f>IF('Cleaned Data'!D195="Airport", 1, 0)</f>
        <v>0</v>
      </c>
    </row>
    <row r="196" spans="1:8">
      <c r="A196" t="str">
        <f>'Cleaned Data'!A196</f>
        <v>STR-1049</v>
      </c>
      <c r="B196" s="3">
        <f>'Cleaned Data'!B196</f>
        <v>45717</v>
      </c>
      <c r="C196">
        <f>IF('Cleaned Data'!C196="West", 1, 0)</f>
        <v>1</v>
      </c>
      <c r="D196">
        <f>IF('Cleaned Data'!C196="North", 1, 0)</f>
        <v>0</v>
      </c>
      <c r="E196">
        <f>IF('Cleaned Data'!C196="South", 1, 0)</f>
        <v>0</v>
      </c>
      <c r="F196">
        <f>IF('Cleaned Data'!D196="High Street", 1, 0)</f>
        <v>0</v>
      </c>
      <c r="G196">
        <f>IF('Cleaned Data'!D196="Residential", 1, 0)</f>
        <v>1</v>
      </c>
      <c r="H196">
        <f>IF('Cleaned Data'!D196="Airport", 1, 0)</f>
        <v>0</v>
      </c>
    </row>
    <row r="197" spans="1:8">
      <c r="A197" t="str">
        <f>'Cleaned Data'!A197</f>
        <v>STR-1049</v>
      </c>
      <c r="B197" s="3">
        <f>'Cleaned Data'!B197</f>
        <v>45748</v>
      </c>
      <c r="C197">
        <f>IF('Cleaned Data'!C197="West", 1, 0)</f>
        <v>1</v>
      </c>
      <c r="D197">
        <f>IF('Cleaned Data'!C197="North", 1, 0)</f>
        <v>0</v>
      </c>
      <c r="E197">
        <f>IF('Cleaned Data'!C197="South", 1, 0)</f>
        <v>0</v>
      </c>
      <c r="F197">
        <f>IF('Cleaned Data'!D197="High Street", 1, 0)</f>
        <v>0</v>
      </c>
      <c r="G197">
        <f>IF('Cleaned Data'!D197="Residential", 1, 0)</f>
        <v>1</v>
      </c>
      <c r="H197">
        <f>IF('Cleaned Data'!D197="Airport", 1, 0)</f>
        <v>0</v>
      </c>
    </row>
    <row r="198" spans="1:8">
      <c r="A198" t="str">
        <f>'Cleaned Data'!A198</f>
        <v>STR-1050</v>
      </c>
      <c r="B198" s="3">
        <f>'Cleaned Data'!B198</f>
        <v>45658</v>
      </c>
      <c r="C198">
        <f>IF('Cleaned Data'!C198="West", 1, 0)</f>
        <v>0</v>
      </c>
      <c r="D198">
        <f>IF('Cleaned Data'!C198="North", 1, 0)</f>
        <v>1</v>
      </c>
      <c r="E198">
        <f>IF('Cleaned Data'!C198="South", 1, 0)</f>
        <v>0</v>
      </c>
      <c r="F198">
        <f>IF('Cleaned Data'!D198="High Street", 1, 0)</f>
        <v>0</v>
      </c>
      <c r="G198">
        <f>IF('Cleaned Data'!D198="Residential", 1, 0)</f>
        <v>1</v>
      </c>
      <c r="H198">
        <f>IF('Cleaned Data'!D198="Airport", 1, 0)</f>
        <v>0</v>
      </c>
    </row>
    <row r="199" spans="1:8">
      <c r="A199" t="str">
        <f>'Cleaned Data'!A199</f>
        <v>STR-1050</v>
      </c>
      <c r="B199" s="3">
        <f>'Cleaned Data'!B199</f>
        <v>45689</v>
      </c>
      <c r="C199">
        <f>IF('Cleaned Data'!C199="West", 1, 0)</f>
        <v>0</v>
      </c>
      <c r="D199">
        <f>IF('Cleaned Data'!C199="North", 1, 0)</f>
        <v>1</v>
      </c>
      <c r="E199">
        <f>IF('Cleaned Data'!C199="South", 1, 0)</f>
        <v>0</v>
      </c>
      <c r="F199">
        <f>IF('Cleaned Data'!D199="High Street", 1, 0)</f>
        <v>0</v>
      </c>
      <c r="G199">
        <f>IF('Cleaned Data'!D199="Residential", 1, 0)</f>
        <v>1</v>
      </c>
      <c r="H199">
        <f>IF('Cleaned Data'!D199="Airport", 1, 0)</f>
        <v>0</v>
      </c>
    </row>
    <row r="200" spans="1:8">
      <c r="A200" t="str">
        <f>'Cleaned Data'!A200</f>
        <v>STR-1050</v>
      </c>
      <c r="B200" s="3">
        <f>'Cleaned Data'!B200</f>
        <v>45717</v>
      </c>
      <c r="C200">
        <f>IF('Cleaned Data'!C200="West", 1, 0)</f>
        <v>0</v>
      </c>
      <c r="D200">
        <f>IF('Cleaned Data'!C200="North", 1, 0)</f>
        <v>1</v>
      </c>
      <c r="E200">
        <f>IF('Cleaned Data'!C200="South", 1, 0)</f>
        <v>0</v>
      </c>
      <c r="F200">
        <f>IF('Cleaned Data'!D200="High Street", 1, 0)</f>
        <v>0</v>
      </c>
      <c r="G200">
        <f>IF('Cleaned Data'!D200="Residential", 1, 0)</f>
        <v>1</v>
      </c>
      <c r="H200">
        <f>IF('Cleaned Data'!D200="Airport", 1, 0)</f>
        <v>0</v>
      </c>
    </row>
    <row r="201" spans="1:8">
      <c r="A201" t="str">
        <f>'Cleaned Data'!A201</f>
        <v>STR-1050</v>
      </c>
      <c r="B201" s="3">
        <f>'Cleaned Data'!B201</f>
        <v>45748</v>
      </c>
      <c r="C201">
        <f>IF('Cleaned Data'!C201="West", 1, 0)</f>
        <v>0</v>
      </c>
      <c r="D201">
        <f>IF('Cleaned Data'!C201="North", 1, 0)</f>
        <v>1</v>
      </c>
      <c r="E201">
        <f>IF('Cleaned Data'!C201="South", 1, 0)</f>
        <v>0</v>
      </c>
      <c r="F201">
        <f>IF('Cleaned Data'!D201="High Street", 1, 0)</f>
        <v>0</v>
      </c>
      <c r="G201">
        <f>IF('Cleaned Data'!D201="Residential", 1, 0)</f>
        <v>1</v>
      </c>
      <c r="H201">
        <f>IF('Cleaned Data'!D201="Airport", 1, 0)</f>
        <v>0</v>
      </c>
    </row>
    <row r="202" spans="1:8">
      <c r="A202" t="str">
        <f>'Cleaned Data'!A202</f>
        <v>STR-1051</v>
      </c>
      <c r="B202" s="3">
        <f>'Cleaned Data'!B202</f>
        <v>45658</v>
      </c>
      <c r="C202">
        <f>IF('Cleaned Data'!C202="West", 1, 0)</f>
        <v>0</v>
      </c>
      <c r="D202">
        <f>IF('Cleaned Data'!C202="North", 1, 0)</f>
        <v>0</v>
      </c>
      <c r="E202">
        <f>IF('Cleaned Data'!C202="South", 1, 0)</f>
        <v>0</v>
      </c>
      <c r="F202">
        <f>IF('Cleaned Data'!D202="High Street", 1, 0)</f>
        <v>0</v>
      </c>
      <c r="G202">
        <f>IF('Cleaned Data'!D202="Residential", 1, 0)</f>
        <v>0</v>
      </c>
      <c r="H202">
        <f>IF('Cleaned Data'!D202="Airport", 1, 0)</f>
        <v>1</v>
      </c>
    </row>
    <row r="203" spans="1:8">
      <c r="A203" t="str">
        <f>'Cleaned Data'!A203</f>
        <v>STR-1051</v>
      </c>
      <c r="B203" s="3">
        <f>'Cleaned Data'!B203</f>
        <v>45689</v>
      </c>
      <c r="C203">
        <f>IF('Cleaned Data'!C203="West", 1, 0)</f>
        <v>0</v>
      </c>
      <c r="D203">
        <f>IF('Cleaned Data'!C203="North", 1, 0)</f>
        <v>0</v>
      </c>
      <c r="E203">
        <f>IF('Cleaned Data'!C203="South", 1, 0)</f>
        <v>0</v>
      </c>
      <c r="F203">
        <f>IF('Cleaned Data'!D203="High Street", 1, 0)</f>
        <v>0</v>
      </c>
      <c r="G203">
        <f>IF('Cleaned Data'!D203="Residential", 1, 0)</f>
        <v>0</v>
      </c>
      <c r="H203">
        <f>IF('Cleaned Data'!D203="Airport", 1, 0)</f>
        <v>1</v>
      </c>
    </row>
    <row r="204" spans="1:8">
      <c r="A204" t="str">
        <f>'Cleaned Data'!A204</f>
        <v>STR-1051</v>
      </c>
      <c r="B204" s="3">
        <f>'Cleaned Data'!B204</f>
        <v>45717</v>
      </c>
      <c r="C204">
        <f>IF('Cleaned Data'!C204="West", 1, 0)</f>
        <v>0</v>
      </c>
      <c r="D204">
        <f>IF('Cleaned Data'!C204="North", 1, 0)</f>
        <v>0</v>
      </c>
      <c r="E204">
        <f>IF('Cleaned Data'!C204="South", 1, 0)</f>
        <v>0</v>
      </c>
      <c r="F204">
        <f>IF('Cleaned Data'!D204="High Street", 1, 0)</f>
        <v>0</v>
      </c>
      <c r="G204">
        <f>IF('Cleaned Data'!D204="Residential", 1, 0)</f>
        <v>0</v>
      </c>
      <c r="H204">
        <f>IF('Cleaned Data'!D204="Airport", 1, 0)</f>
        <v>1</v>
      </c>
    </row>
    <row r="205" spans="1:8">
      <c r="A205" t="str">
        <f>'Cleaned Data'!A205</f>
        <v>STR-1051</v>
      </c>
      <c r="B205" s="3">
        <f>'Cleaned Data'!B205</f>
        <v>45748</v>
      </c>
      <c r="C205">
        <f>IF('Cleaned Data'!C205="West", 1, 0)</f>
        <v>0</v>
      </c>
      <c r="D205">
        <f>IF('Cleaned Data'!C205="North", 1, 0)</f>
        <v>0</v>
      </c>
      <c r="E205">
        <f>IF('Cleaned Data'!C205="South", 1, 0)</f>
        <v>0</v>
      </c>
      <c r="F205">
        <f>IF('Cleaned Data'!D205="High Street", 1, 0)</f>
        <v>0</v>
      </c>
      <c r="G205">
        <f>IF('Cleaned Data'!D205="Residential", 1, 0)</f>
        <v>0</v>
      </c>
      <c r="H205">
        <f>IF('Cleaned Data'!D205="Airport", 1, 0)</f>
        <v>1</v>
      </c>
    </row>
    <row r="206" spans="1:8">
      <c r="A206" t="str">
        <f>'Cleaned Data'!A206</f>
        <v>STR-1052</v>
      </c>
      <c r="B206" s="3">
        <f>'Cleaned Data'!B206</f>
        <v>45658</v>
      </c>
      <c r="C206">
        <f>IF('Cleaned Data'!C206="West", 1, 0)</f>
        <v>0</v>
      </c>
      <c r="D206">
        <f>IF('Cleaned Data'!C206="North", 1, 0)</f>
        <v>0</v>
      </c>
      <c r="E206">
        <f>IF('Cleaned Data'!C206="South", 1, 0)</f>
        <v>0</v>
      </c>
      <c r="F206">
        <f>IF('Cleaned Data'!D206="High Street", 1, 0)</f>
        <v>0</v>
      </c>
      <c r="G206">
        <f>IF('Cleaned Data'!D206="Residential", 1, 0)</f>
        <v>0</v>
      </c>
      <c r="H206">
        <f>IF('Cleaned Data'!D206="Airport", 1, 0)</f>
        <v>0</v>
      </c>
    </row>
    <row r="207" spans="1:8">
      <c r="A207" t="str">
        <f>'Cleaned Data'!A207</f>
        <v>STR-1052</v>
      </c>
      <c r="B207" s="3">
        <f>'Cleaned Data'!B207</f>
        <v>45689</v>
      </c>
      <c r="C207">
        <f>IF('Cleaned Data'!C207="West", 1, 0)</f>
        <v>0</v>
      </c>
      <c r="D207">
        <f>IF('Cleaned Data'!C207="North", 1, 0)</f>
        <v>0</v>
      </c>
      <c r="E207">
        <f>IF('Cleaned Data'!C207="South", 1, 0)</f>
        <v>0</v>
      </c>
      <c r="F207">
        <f>IF('Cleaned Data'!D207="High Street", 1, 0)</f>
        <v>0</v>
      </c>
      <c r="G207">
        <f>IF('Cleaned Data'!D207="Residential", 1, 0)</f>
        <v>0</v>
      </c>
      <c r="H207">
        <f>IF('Cleaned Data'!D207="Airport", 1, 0)</f>
        <v>0</v>
      </c>
    </row>
    <row r="208" spans="1:8">
      <c r="A208" t="str">
        <f>'Cleaned Data'!A208</f>
        <v>STR-1052</v>
      </c>
      <c r="B208" s="3">
        <f>'Cleaned Data'!B208</f>
        <v>45717</v>
      </c>
      <c r="C208">
        <f>IF('Cleaned Data'!C208="West", 1, 0)</f>
        <v>0</v>
      </c>
      <c r="D208">
        <f>IF('Cleaned Data'!C208="North", 1, 0)</f>
        <v>0</v>
      </c>
      <c r="E208">
        <f>IF('Cleaned Data'!C208="South", 1, 0)</f>
        <v>0</v>
      </c>
      <c r="F208">
        <f>IF('Cleaned Data'!D208="High Street", 1, 0)</f>
        <v>0</v>
      </c>
      <c r="G208">
        <f>IF('Cleaned Data'!D208="Residential", 1, 0)</f>
        <v>0</v>
      </c>
      <c r="H208">
        <f>IF('Cleaned Data'!D208="Airport", 1, 0)</f>
        <v>0</v>
      </c>
    </row>
    <row r="209" spans="1:8">
      <c r="A209" t="str">
        <f>'Cleaned Data'!A209</f>
        <v>STR-1052</v>
      </c>
      <c r="B209" s="3">
        <f>'Cleaned Data'!B209</f>
        <v>45748</v>
      </c>
      <c r="C209">
        <f>IF('Cleaned Data'!C209="West", 1, 0)</f>
        <v>0</v>
      </c>
      <c r="D209">
        <f>IF('Cleaned Data'!C209="North", 1, 0)</f>
        <v>0</v>
      </c>
      <c r="E209">
        <f>IF('Cleaned Data'!C209="South", 1, 0)</f>
        <v>0</v>
      </c>
      <c r="F209">
        <f>IF('Cleaned Data'!D209="High Street", 1, 0)</f>
        <v>0</v>
      </c>
      <c r="G209">
        <f>IF('Cleaned Data'!D209="Residential", 1, 0)</f>
        <v>0</v>
      </c>
      <c r="H209">
        <f>IF('Cleaned Data'!D209="Airport", 1, 0)</f>
        <v>0</v>
      </c>
    </row>
    <row r="210" spans="1:8">
      <c r="A210" t="str">
        <f>'Cleaned Data'!A210</f>
        <v>STR-1053</v>
      </c>
      <c r="B210" s="3">
        <f>'Cleaned Data'!B210</f>
        <v>45658</v>
      </c>
      <c r="C210">
        <f>IF('Cleaned Data'!C210="West", 1, 0)</f>
        <v>0</v>
      </c>
      <c r="D210">
        <f>IF('Cleaned Data'!C210="North", 1, 0)</f>
        <v>0</v>
      </c>
      <c r="E210">
        <f>IF('Cleaned Data'!C210="South", 1, 0)</f>
        <v>0</v>
      </c>
      <c r="F210">
        <f>IF('Cleaned Data'!D210="High Street", 1, 0)</f>
        <v>1</v>
      </c>
      <c r="G210">
        <f>IF('Cleaned Data'!D210="Residential", 1, 0)</f>
        <v>0</v>
      </c>
      <c r="H210">
        <f>IF('Cleaned Data'!D210="Airport", 1, 0)</f>
        <v>0</v>
      </c>
    </row>
    <row r="211" spans="1:8">
      <c r="A211" t="str">
        <f>'Cleaned Data'!A211</f>
        <v>STR-1053</v>
      </c>
      <c r="B211" s="3">
        <f>'Cleaned Data'!B211</f>
        <v>45689</v>
      </c>
      <c r="C211">
        <f>IF('Cleaned Data'!C211="West", 1, 0)</f>
        <v>0</v>
      </c>
      <c r="D211">
        <f>IF('Cleaned Data'!C211="North", 1, 0)</f>
        <v>0</v>
      </c>
      <c r="E211">
        <f>IF('Cleaned Data'!C211="South", 1, 0)</f>
        <v>0</v>
      </c>
      <c r="F211">
        <f>IF('Cleaned Data'!D211="High Street", 1, 0)</f>
        <v>1</v>
      </c>
      <c r="G211">
        <f>IF('Cleaned Data'!D211="Residential", 1, 0)</f>
        <v>0</v>
      </c>
      <c r="H211">
        <f>IF('Cleaned Data'!D211="Airport", 1, 0)</f>
        <v>0</v>
      </c>
    </row>
    <row r="212" spans="1:8">
      <c r="A212" t="str">
        <f>'Cleaned Data'!A212</f>
        <v>STR-1053</v>
      </c>
      <c r="B212" s="3">
        <f>'Cleaned Data'!B212</f>
        <v>45717</v>
      </c>
      <c r="C212">
        <f>IF('Cleaned Data'!C212="West", 1, 0)</f>
        <v>0</v>
      </c>
      <c r="D212">
        <f>IF('Cleaned Data'!C212="North", 1, 0)</f>
        <v>0</v>
      </c>
      <c r="E212">
        <f>IF('Cleaned Data'!C212="South", 1, 0)</f>
        <v>0</v>
      </c>
      <c r="F212">
        <f>IF('Cleaned Data'!D212="High Street", 1, 0)</f>
        <v>1</v>
      </c>
      <c r="G212">
        <f>IF('Cleaned Data'!D212="Residential", 1, 0)</f>
        <v>0</v>
      </c>
      <c r="H212">
        <f>IF('Cleaned Data'!D212="Airport", 1, 0)</f>
        <v>0</v>
      </c>
    </row>
    <row r="213" spans="1:8">
      <c r="A213" t="str">
        <f>'Cleaned Data'!A213</f>
        <v>STR-1053</v>
      </c>
      <c r="B213" s="3">
        <f>'Cleaned Data'!B213</f>
        <v>45748</v>
      </c>
      <c r="C213">
        <f>IF('Cleaned Data'!C213="West", 1, 0)</f>
        <v>0</v>
      </c>
      <c r="D213">
        <f>IF('Cleaned Data'!C213="North", 1, 0)</f>
        <v>0</v>
      </c>
      <c r="E213">
        <f>IF('Cleaned Data'!C213="South", 1, 0)</f>
        <v>0</v>
      </c>
      <c r="F213">
        <f>IF('Cleaned Data'!D213="High Street", 1, 0)</f>
        <v>1</v>
      </c>
      <c r="G213">
        <f>IF('Cleaned Data'!D213="Residential", 1, 0)</f>
        <v>0</v>
      </c>
      <c r="H213">
        <f>IF('Cleaned Data'!D213="Airport", 1, 0)</f>
        <v>0</v>
      </c>
    </row>
    <row r="214" spans="1:8">
      <c r="A214" t="str">
        <f>'Cleaned Data'!A214</f>
        <v>STR-1054</v>
      </c>
      <c r="B214" s="3">
        <f>'Cleaned Data'!B214</f>
        <v>45658</v>
      </c>
      <c r="C214">
        <f>IF('Cleaned Data'!C214="West", 1, 0)</f>
        <v>1</v>
      </c>
      <c r="D214">
        <f>IF('Cleaned Data'!C214="North", 1, 0)</f>
        <v>0</v>
      </c>
      <c r="E214">
        <f>IF('Cleaned Data'!C214="South", 1, 0)</f>
        <v>0</v>
      </c>
      <c r="F214">
        <f>IF('Cleaned Data'!D214="High Street", 1, 0)</f>
        <v>0</v>
      </c>
      <c r="G214">
        <f>IF('Cleaned Data'!D214="Residential", 1, 0)</f>
        <v>1</v>
      </c>
      <c r="H214">
        <f>IF('Cleaned Data'!D214="Airport", 1, 0)</f>
        <v>0</v>
      </c>
    </row>
    <row r="215" spans="1:8">
      <c r="A215" t="str">
        <f>'Cleaned Data'!A215</f>
        <v>STR-1054</v>
      </c>
      <c r="B215" s="3">
        <f>'Cleaned Data'!B215</f>
        <v>45689</v>
      </c>
      <c r="C215">
        <f>IF('Cleaned Data'!C215="West", 1, 0)</f>
        <v>1</v>
      </c>
      <c r="D215">
        <f>IF('Cleaned Data'!C215="North", 1, 0)</f>
        <v>0</v>
      </c>
      <c r="E215">
        <f>IF('Cleaned Data'!C215="South", 1, 0)</f>
        <v>0</v>
      </c>
      <c r="F215">
        <f>IF('Cleaned Data'!D215="High Street", 1, 0)</f>
        <v>0</v>
      </c>
      <c r="G215">
        <f>IF('Cleaned Data'!D215="Residential", 1, 0)</f>
        <v>1</v>
      </c>
      <c r="H215">
        <f>IF('Cleaned Data'!D215="Airport", 1, 0)</f>
        <v>0</v>
      </c>
    </row>
    <row r="216" spans="1:8">
      <c r="A216" t="str">
        <f>'Cleaned Data'!A216</f>
        <v>STR-1054</v>
      </c>
      <c r="B216" s="3">
        <f>'Cleaned Data'!B216</f>
        <v>45717</v>
      </c>
      <c r="C216">
        <f>IF('Cleaned Data'!C216="West", 1, 0)</f>
        <v>1</v>
      </c>
      <c r="D216">
        <f>IF('Cleaned Data'!C216="North", 1, 0)</f>
        <v>0</v>
      </c>
      <c r="E216">
        <f>IF('Cleaned Data'!C216="South", 1, 0)</f>
        <v>0</v>
      </c>
      <c r="F216">
        <f>IF('Cleaned Data'!D216="High Street", 1, 0)</f>
        <v>0</v>
      </c>
      <c r="G216">
        <f>IF('Cleaned Data'!D216="Residential", 1, 0)</f>
        <v>1</v>
      </c>
      <c r="H216">
        <f>IF('Cleaned Data'!D216="Airport", 1, 0)</f>
        <v>0</v>
      </c>
    </row>
    <row r="217" spans="1:8">
      <c r="A217" t="str">
        <f>'Cleaned Data'!A217</f>
        <v>STR-1054</v>
      </c>
      <c r="B217" s="3">
        <f>'Cleaned Data'!B217</f>
        <v>45748</v>
      </c>
      <c r="C217">
        <f>IF('Cleaned Data'!C217="West", 1, 0)</f>
        <v>1</v>
      </c>
      <c r="D217">
        <f>IF('Cleaned Data'!C217="North", 1, 0)</f>
        <v>0</v>
      </c>
      <c r="E217">
        <f>IF('Cleaned Data'!C217="South", 1, 0)</f>
        <v>0</v>
      </c>
      <c r="F217">
        <f>IF('Cleaned Data'!D217="High Street", 1, 0)</f>
        <v>0</v>
      </c>
      <c r="G217">
        <f>IF('Cleaned Data'!D217="Residential", 1, 0)</f>
        <v>1</v>
      </c>
      <c r="H217">
        <f>IF('Cleaned Data'!D217="Airport", 1, 0)</f>
        <v>0</v>
      </c>
    </row>
    <row r="218" spans="1:8">
      <c r="A218" t="str">
        <f>'Cleaned Data'!A218</f>
        <v>STR-1055</v>
      </c>
      <c r="B218" s="3">
        <f>'Cleaned Data'!B218</f>
        <v>45658</v>
      </c>
      <c r="C218">
        <f>IF('Cleaned Data'!C218="West", 1, 0)</f>
        <v>0</v>
      </c>
      <c r="D218">
        <f>IF('Cleaned Data'!C218="North", 1, 0)</f>
        <v>1</v>
      </c>
      <c r="E218">
        <f>IF('Cleaned Data'!C218="South", 1, 0)</f>
        <v>0</v>
      </c>
      <c r="F218">
        <f>IF('Cleaned Data'!D218="High Street", 1, 0)</f>
        <v>0</v>
      </c>
      <c r="G218">
        <f>IF('Cleaned Data'!D218="Residential", 1, 0)</f>
        <v>0</v>
      </c>
      <c r="H218">
        <f>IF('Cleaned Data'!D218="Airport", 1, 0)</f>
        <v>1</v>
      </c>
    </row>
    <row r="219" spans="1:8">
      <c r="A219" t="str">
        <f>'Cleaned Data'!A219</f>
        <v>STR-1055</v>
      </c>
      <c r="B219" s="3">
        <f>'Cleaned Data'!B219</f>
        <v>45689</v>
      </c>
      <c r="C219">
        <f>IF('Cleaned Data'!C219="West", 1, 0)</f>
        <v>0</v>
      </c>
      <c r="D219">
        <f>IF('Cleaned Data'!C219="North", 1, 0)</f>
        <v>1</v>
      </c>
      <c r="E219">
        <f>IF('Cleaned Data'!C219="South", 1, 0)</f>
        <v>0</v>
      </c>
      <c r="F219">
        <f>IF('Cleaned Data'!D219="High Street", 1, 0)</f>
        <v>0</v>
      </c>
      <c r="G219">
        <f>IF('Cleaned Data'!D219="Residential", 1, 0)</f>
        <v>0</v>
      </c>
      <c r="H219">
        <f>IF('Cleaned Data'!D219="Airport", 1, 0)</f>
        <v>1</v>
      </c>
    </row>
    <row r="220" spans="1:8">
      <c r="A220" t="str">
        <f>'Cleaned Data'!A220</f>
        <v>STR-1055</v>
      </c>
      <c r="B220" s="3">
        <f>'Cleaned Data'!B220</f>
        <v>45717</v>
      </c>
      <c r="C220">
        <f>IF('Cleaned Data'!C220="West", 1, 0)</f>
        <v>0</v>
      </c>
      <c r="D220">
        <f>IF('Cleaned Data'!C220="North", 1, 0)</f>
        <v>1</v>
      </c>
      <c r="E220">
        <f>IF('Cleaned Data'!C220="South", 1, 0)</f>
        <v>0</v>
      </c>
      <c r="F220">
        <f>IF('Cleaned Data'!D220="High Street", 1, 0)</f>
        <v>0</v>
      </c>
      <c r="G220">
        <f>IF('Cleaned Data'!D220="Residential", 1, 0)</f>
        <v>0</v>
      </c>
      <c r="H220">
        <f>IF('Cleaned Data'!D220="Airport", 1, 0)</f>
        <v>1</v>
      </c>
    </row>
    <row r="221" spans="1:8">
      <c r="A221" t="str">
        <f>'Cleaned Data'!A221</f>
        <v>STR-1055</v>
      </c>
      <c r="B221" s="3">
        <f>'Cleaned Data'!B221</f>
        <v>45748</v>
      </c>
      <c r="C221">
        <f>IF('Cleaned Data'!C221="West", 1, 0)</f>
        <v>0</v>
      </c>
      <c r="D221">
        <f>IF('Cleaned Data'!C221="North", 1, 0)</f>
        <v>1</v>
      </c>
      <c r="E221">
        <f>IF('Cleaned Data'!C221="South", 1, 0)</f>
        <v>0</v>
      </c>
      <c r="F221">
        <f>IF('Cleaned Data'!D221="High Street", 1, 0)</f>
        <v>0</v>
      </c>
      <c r="G221">
        <f>IF('Cleaned Data'!D221="Residential", 1, 0)</f>
        <v>0</v>
      </c>
      <c r="H221">
        <f>IF('Cleaned Data'!D221="Airport", 1, 0)</f>
        <v>1</v>
      </c>
    </row>
    <row r="222" spans="1:8">
      <c r="A222" t="str">
        <f>'Cleaned Data'!A222</f>
        <v>STR-1056</v>
      </c>
      <c r="B222" s="3">
        <f>'Cleaned Data'!B222</f>
        <v>45658</v>
      </c>
      <c r="C222">
        <f>IF('Cleaned Data'!C222="West", 1, 0)</f>
        <v>0</v>
      </c>
      <c r="D222">
        <f>IF('Cleaned Data'!C222="North", 1, 0)</f>
        <v>0</v>
      </c>
      <c r="E222">
        <f>IF('Cleaned Data'!C222="South", 1, 0)</f>
        <v>0</v>
      </c>
      <c r="F222">
        <f>IF('Cleaned Data'!D222="High Street", 1, 0)</f>
        <v>1</v>
      </c>
      <c r="G222">
        <f>IF('Cleaned Data'!D222="Residential", 1, 0)</f>
        <v>0</v>
      </c>
      <c r="H222">
        <f>IF('Cleaned Data'!D222="Airport", 1, 0)</f>
        <v>0</v>
      </c>
    </row>
    <row r="223" spans="1:8">
      <c r="A223" t="str">
        <f>'Cleaned Data'!A223</f>
        <v>STR-1056</v>
      </c>
      <c r="B223" s="3">
        <f>'Cleaned Data'!B223</f>
        <v>45689</v>
      </c>
      <c r="C223">
        <f>IF('Cleaned Data'!C223="West", 1, 0)</f>
        <v>0</v>
      </c>
      <c r="D223">
        <f>IF('Cleaned Data'!C223="North", 1, 0)</f>
        <v>0</v>
      </c>
      <c r="E223">
        <f>IF('Cleaned Data'!C223="South", 1, 0)</f>
        <v>0</v>
      </c>
      <c r="F223">
        <f>IF('Cleaned Data'!D223="High Street", 1, 0)</f>
        <v>1</v>
      </c>
      <c r="G223">
        <f>IF('Cleaned Data'!D223="Residential", 1, 0)</f>
        <v>0</v>
      </c>
      <c r="H223">
        <f>IF('Cleaned Data'!D223="Airport", 1, 0)</f>
        <v>0</v>
      </c>
    </row>
    <row r="224" spans="1:8">
      <c r="A224" t="str">
        <f>'Cleaned Data'!A224</f>
        <v>STR-1056</v>
      </c>
      <c r="B224" s="3">
        <f>'Cleaned Data'!B224</f>
        <v>45717</v>
      </c>
      <c r="C224">
        <f>IF('Cleaned Data'!C224="West", 1, 0)</f>
        <v>0</v>
      </c>
      <c r="D224">
        <f>IF('Cleaned Data'!C224="North", 1, 0)</f>
        <v>0</v>
      </c>
      <c r="E224">
        <f>IF('Cleaned Data'!C224="South", 1, 0)</f>
        <v>0</v>
      </c>
      <c r="F224">
        <f>IF('Cleaned Data'!D224="High Street", 1, 0)</f>
        <v>1</v>
      </c>
      <c r="G224">
        <f>IF('Cleaned Data'!D224="Residential", 1, 0)</f>
        <v>0</v>
      </c>
      <c r="H224">
        <f>IF('Cleaned Data'!D224="Airport", 1, 0)</f>
        <v>0</v>
      </c>
    </row>
    <row r="225" spans="1:8">
      <c r="A225" t="str">
        <f>'Cleaned Data'!A225</f>
        <v>STR-1056</v>
      </c>
      <c r="B225" s="3">
        <f>'Cleaned Data'!B225</f>
        <v>45748</v>
      </c>
      <c r="C225">
        <f>IF('Cleaned Data'!C225="West", 1, 0)</f>
        <v>0</v>
      </c>
      <c r="D225">
        <f>IF('Cleaned Data'!C225="North", 1, 0)</f>
        <v>0</v>
      </c>
      <c r="E225">
        <f>IF('Cleaned Data'!C225="South", 1, 0)</f>
        <v>0</v>
      </c>
      <c r="F225">
        <f>IF('Cleaned Data'!D225="High Street", 1, 0)</f>
        <v>1</v>
      </c>
      <c r="G225">
        <f>IF('Cleaned Data'!D225="Residential", 1, 0)</f>
        <v>0</v>
      </c>
      <c r="H225">
        <f>IF('Cleaned Data'!D225="Airport", 1, 0)</f>
        <v>0</v>
      </c>
    </row>
    <row r="226" spans="1:8">
      <c r="A226" t="str">
        <f>'Cleaned Data'!A226</f>
        <v>STR-1057</v>
      </c>
      <c r="B226" s="3">
        <f>'Cleaned Data'!B226</f>
        <v>45658</v>
      </c>
      <c r="C226">
        <f>IF('Cleaned Data'!C226="West", 1, 0)</f>
        <v>0</v>
      </c>
      <c r="D226">
        <f>IF('Cleaned Data'!C226="North", 1, 0)</f>
        <v>0</v>
      </c>
      <c r="E226">
        <f>IF('Cleaned Data'!C226="South", 1, 0)</f>
        <v>0</v>
      </c>
      <c r="F226">
        <f>IF('Cleaned Data'!D226="High Street", 1, 0)</f>
        <v>0</v>
      </c>
      <c r="G226">
        <f>IF('Cleaned Data'!D226="Residential", 1, 0)</f>
        <v>0</v>
      </c>
      <c r="H226">
        <f>IF('Cleaned Data'!D226="Airport", 1, 0)</f>
        <v>0</v>
      </c>
    </row>
    <row r="227" spans="1:8">
      <c r="A227" t="str">
        <f>'Cleaned Data'!A227</f>
        <v>STR-1057</v>
      </c>
      <c r="B227" s="3">
        <f>'Cleaned Data'!B227</f>
        <v>45689</v>
      </c>
      <c r="C227">
        <f>IF('Cleaned Data'!C227="West", 1, 0)</f>
        <v>0</v>
      </c>
      <c r="D227">
        <f>IF('Cleaned Data'!C227="North", 1, 0)</f>
        <v>0</v>
      </c>
      <c r="E227">
        <f>IF('Cleaned Data'!C227="South", 1, 0)</f>
        <v>0</v>
      </c>
      <c r="F227">
        <f>IF('Cleaned Data'!D227="High Street", 1, 0)</f>
        <v>0</v>
      </c>
      <c r="G227">
        <f>IF('Cleaned Data'!D227="Residential", 1, 0)</f>
        <v>0</v>
      </c>
      <c r="H227">
        <f>IF('Cleaned Data'!D227="Airport", 1, 0)</f>
        <v>0</v>
      </c>
    </row>
    <row r="228" spans="1:8">
      <c r="A228" t="str">
        <f>'Cleaned Data'!A228</f>
        <v>STR-1057</v>
      </c>
      <c r="B228" s="3">
        <f>'Cleaned Data'!B228</f>
        <v>45717</v>
      </c>
      <c r="C228">
        <f>IF('Cleaned Data'!C228="West", 1, 0)</f>
        <v>0</v>
      </c>
      <c r="D228">
        <f>IF('Cleaned Data'!C228="North", 1, 0)</f>
        <v>0</v>
      </c>
      <c r="E228">
        <f>IF('Cleaned Data'!C228="South", 1, 0)</f>
        <v>0</v>
      </c>
      <c r="F228">
        <f>IF('Cleaned Data'!D228="High Street", 1, 0)</f>
        <v>0</v>
      </c>
      <c r="G228">
        <f>IF('Cleaned Data'!D228="Residential", 1, 0)</f>
        <v>0</v>
      </c>
      <c r="H228">
        <f>IF('Cleaned Data'!D228="Airport", 1, 0)</f>
        <v>0</v>
      </c>
    </row>
    <row r="229" spans="1:8">
      <c r="A229" t="str">
        <f>'Cleaned Data'!A229</f>
        <v>STR-1057</v>
      </c>
      <c r="B229" s="3">
        <f>'Cleaned Data'!B229</f>
        <v>45748</v>
      </c>
      <c r="C229">
        <f>IF('Cleaned Data'!C229="West", 1, 0)</f>
        <v>0</v>
      </c>
      <c r="D229">
        <f>IF('Cleaned Data'!C229="North", 1, 0)</f>
        <v>0</v>
      </c>
      <c r="E229">
        <f>IF('Cleaned Data'!C229="South", 1, 0)</f>
        <v>0</v>
      </c>
      <c r="F229">
        <f>IF('Cleaned Data'!D229="High Street", 1, 0)</f>
        <v>0</v>
      </c>
      <c r="G229">
        <f>IF('Cleaned Data'!D229="Residential", 1, 0)</f>
        <v>0</v>
      </c>
      <c r="H229">
        <f>IF('Cleaned Data'!D229="Airport", 1, 0)</f>
        <v>0</v>
      </c>
    </row>
    <row r="230" spans="1:8">
      <c r="A230" t="str">
        <f>'Cleaned Data'!A230</f>
        <v>STR-1058</v>
      </c>
      <c r="B230" s="3">
        <f>'Cleaned Data'!B230</f>
        <v>45658</v>
      </c>
      <c r="C230">
        <f>IF('Cleaned Data'!C230="West", 1, 0)</f>
        <v>0</v>
      </c>
      <c r="D230">
        <f>IF('Cleaned Data'!C230="North", 1, 0)</f>
        <v>0</v>
      </c>
      <c r="E230">
        <f>IF('Cleaned Data'!C230="South", 1, 0)</f>
        <v>0</v>
      </c>
      <c r="F230">
        <f>IF('Cleaned Data'!D230="High Street", 1, 0)</f>
        <v>1</v>
      </c>
      <c r="G230">
        <f>IF('Cleaned Data'!D230="Residential", 1, 0)</f>
        <v>0</v>
      </c>
      <c r="H230">
        <f>IF('Cleaned Data'!D230="Airport", 1, 0)</f>
        <v>0</v>
      </c>
    </row>
    <row r="231" spans="1:8">
      <c r="A231" t="str">
        <f>'Cleaned Data'!A231</f>
        <v>STR-1058</v>
      </c>
      <c r="B231" s="3">
        <f>'Cleaned Data'!B231</f>
        <v>45689</v>
      </c>
      <c r="C231">
        <f>IF('Cleaned Data'!C231="West", 1, 0)</f>
        <v>0</v>
      </c>
      <c r="D231">
        <f>IF('Cleaned Data'!C231="North", 1, 0)</f>
        <v>0</v>
      </c>
      <c r="E231">
        <f>IF('Cleaned Data'!C231="South", 1, 0)</f>
        <v>0</v>
      </c>
      <c r="F231">
        <f>IF('Cleaned Data'!D231="High Street", 1, 0)</f>
        <v>1</v>
      </c>
      <c r="G231">
        <f>IF('Cleaned Data'!D231="Residential", 1, 0)</f>
        <v>0</v>
      </c>
      <c r="H231">
        <f>IF('Cleaned Data'!D231="Airport", 1, 0)</f>
        <v>0</v>
      </c>
    </row>
    <row r="232" spans="1:8">
      <c r="A232" t="str">
        <f>'Cleaned Data'!A232</f>
        <v>STR-1058</v>
      </c>
      <c r="B232" s="3">
        <f>'Cleaned Data'!B232</f>
        <v>45717</v>
      </c>
      <c r="C232">
        <f>IF('Cleaned Data'!C232="West", 1, 0)</f>
        <v>0</v>
      </c>
      <c r="D232">
        <f>IF('Cleaned Data'!C232="North", 1, 0)</f>
        <v>0</v>
      </c>
      <c r="E232">
        <f>IF('Cleaned Data'!C232="South", 1, 0)</f>
        <v>0</v>
      </c>
      <c r="F232">
        <f>IF('Cleaned Data'!D232="High Street", 1, 0)</f>
        <v>1</v>
      </c>
      <c r="G232">
        <f>IF('Cleaned Data'!D232="Residential", 1, 0)</f>
        <v>0</v>
      </c>
      <c r="H232">
        <f>IF('Cleaned Data'!D232="Airport", 1, 0)</f>
        <v>0</v>
      </c>
    </row>
    <row r="233" spans="1:8">
      <c r="A233" t="str">
        <f>'Cleaned Data'!A233</f>
        <v>STR-1058</v>
      </c>
      <c r="B233" s="3">
        <f>'Cleaned Data'!B233</f>
        <v>45748</v>
      </c>
      <c r="C233">
        <f>IF('Cleaned Data'!C233="West", 1, 0)</f>
        <v>0</v>
      </c>
      <c r="D233">
        <f>IF('Cleaned Data'!C233="North", 1, 0)</f>
        <v>0</v>
      </c>
      <c r="E233">
        <f>IF('Cleaned Data'!C233="South", 1, 0)</f>
        <v>0</v>
      </c>
      <c r="F233">
        <f>IF('Cleaned Data'!D233="High Street", 1, 0)</f>
        <v>1</v>
      </c>
      <c r="G233">
        <f>IF('Cleaned Data'!D233="Residential", 1, 0)</f>
        <v>0</v>
      </c>
      <c r="H233">
        <f>IF('Cleaned Data'!D233="Airport", 1, 0)</f>
        <v>0</v>
      </c>
    </row>
    <row r="234" spans="1:8">
      <c r="A234" t="str">
        <f>'Cleaned Data'!A234</f>
        <v>STR-1059</v>
      </c>
      <c r="B234" s="3">
        <f>'Cleaned Data'!B234</f>
        <v>45658</v>
      </c>
      <c r="C234">
        <f>IF('Cleaned Data'!C234="West", 1, 0)</f>
        <v>1</v>
      </c>
      <c r="D234">
        <f>IF('Cleaned Data'!C234="North", 1, 0)</f>
        <v>0</v>
      </c>
      <c r="E234">
        <f>IF('Cleaned Data'!C234="South", 1, 0)</f>
        <v>0</v>
      </c>
      <c r="F234">
        <f>IF('Cleaned Data'!D234="High Street", 1, 0)</f>
        <v>0</v>
      </c>
      <c r="G234">
        <f>IF('Cleaned Data'!D234="Residential", 1, 0)</f>
        <v>1</v>
      </c>
      <c r="H234">
        <f>IF('Cleaned Data'!D234="Airport", 1, 0)</f>
        <v>0</v>
      </c>
    </row>
    <row r="235" spans="1:8">
      <c r="A235" t="str">
        <f>'Cleaned Data'!A235</f>
        <v>STR-1059</v>
      </c>
      <c r="B235" s="3">
        <f>'Cleaned Data'!B235</f>
        <v>45689</v>
      </c>
      <c r="C235">
        <f>IF('Cleaned Data'!C235="West", 1, 0)</f>
        <v>1</v>
      </c>
      <c r="D235">
        <f>IF('Cleaned Data'!C235="North", 1, 0)</f>
        <v>0</v>
      </c>
      <c r="E235">
        <f>IF('Cleaned Data'!C235="South", 1, 0)</f>
        <v>0</v>
      </c>
      <c r="F235">
        <f>IF('Cleaned Data'!D235="High Street", 1, 0)</f>
        <v>0</v>
      </c>
      <c r="G235">
        <f>IF('Cleaned Data'!D235="Residential", 1, 0)</f>
        <v>1</v>
      </c>
      <c r="H235">
        <f>IF('Cleaned Data'!D235="Airport", 1, 0)</f>
        <v>0</v>
      </c>
    </row>
    <row r="236" spans="1:8">
      <c r="A236" t="str">
        <f>'Cleaned Data'!A236</f>
        <v>STR-1059</v>
      </c>
      <c r="B236" s="3">
        <f>'Cleaned Data'!B236</f>
        <v>45717</v>
      </c>
      <c r="C236">
        <f>IF('Cleaned Data'!C236="West", 1, 0)</f>
        <v>1</v>
      </c>
      <c r="D236">
        <f>IF('Cleaned Data'!C236="North", 1, 0)</f>
        <v>0</v>
      </c>
      <c r="E236">
        <f>IF('Cleaned Data'!C236="South", 1, 0)</f>
        <v>0</v>
      </c>
      <c r="F236">
        <f>IF('Cleaned Data'!D236="High Street", 1, 0)</f>
        <v>0</v>
      </c>
      <c r="G236">
        <f>IF('Cleaned Data'!D236="Residential", 1, 0)</f>
        <v>1</v>
      </c>
      <c r="H236">
        <f>IF('Cleaned Data'!D236="Airport", 1, 0)</f>
        <v>0</v>
      </c>
    </row>
    <row r="237" spans="1:8">
      <c r="A237" t="str">
        <f>'Cleaned Data'!A237</f>
        <v>STR-1059</v>
      </c>
      <c r="B237" s="3">
        <f>'Cleaned Data'!B237</f>
        <v>45748</v>
      </c>
      <c r="C237">
        <f>IF('Cleaned Data'!C237="West", 1, 0)</f>
        <v>1</v>
      </c>
      <c r="D237">
        <f>IF('Cleaned Data'!C237="North", 1, 0)</f>
        <v>0</v>
      </c>
      <c r="E237">
        <f>IF('Cleaned Data'!C237="South", 1, 0)</f>
        <v>0</v>
      </c>
      <c r="F237">
        <f>IF('Cleaned Data'!D237="High Street", 1, 0)</f>
        <v>0</v>
      </c>
      <c r="G237">
        <f>IF('Cleaned Data'!D237="Residential", 1, 0)</f>
        <v>1</v>
      </c>
      <c r="H237">
        <f>IF('Cleaned Data'!D237="Airport", 1, 0)</f>
        <v>0</v>
      </c>
    </row>
    <row r="238" spans="1:8">
      <c r="A238" t="str">
        <f>'Cleaned Data'!A238</f>
        <v>STR-1060</v>
      </c>
      <c r="B238" s="3">
        <f>'Cleaned Data'!B238</f>
        <v>45658</v>
      </c>
      <c r="C238">
        <f>IF('Cleaned Data'!C238="West", 1, 0)</f>
        <v>1</v>
      </c>
      <c r="D238">
        <f>IF('Cleaned Data'!C238="North", 1, 0)</f>
        <v>0</v>
      </c>
      <c r="E238">
        <f>IF('Cleaned Data'!C238="South", 1, 0)</f>
        <v>0</v>
      </c>
      <c r="F238">
        <f>IF('Cleaned Data'!D238="High Street", 1, 0)</f>
        <v>0</v>
      </c>
      <c r="G238">
        <f>IF('Cleaned Data'!D238="Residential", 1, 0)</f>
        <v>0</v>
      </c>
      <c r="H238">
        <f>IF('Cleaned Data'!D238="Airport", 1, 0)</f>
        <v>0</v>
      </c>
    </row>
    <row r="239" spans="1:8">
      <c r="A239" t="str">
        <f>'Cleaned Data'!A239</f>
        <v>STR-1060</v>
      </c>
      <c r="B239" s="3">
        <f>'Cleaned Data'!B239</f>
        <v>45689</v>
      </c>
      <c r="C239">
        <f>IF('Cleaned Data'!C239="West", 1, 0)</f>
        <v>1</v>
      </c>
      <c r="D239">
        <f>IF('Cleaned Data'!C239="North", 1, 0)</f>
        <v>0</v>
      </c>
      <c r="E239">
        <f>IF('Cleaned Data'!C239="South", 1, 0)</f>
        <v>0</v>
      </c>
      <c r="F239">
        <f>IF('Cleaned Data'!D239="High Street", 1, 0)</f>
        <v>0</v>
      </c>
      <c r="G239">
        <f>IF('Cleaned Data'!D239="Residential", 1, 0)</f>
        <v>0</v>
      </c>
      <c r="H239">
        <f>IF('Cleaned Data'!D239="Airport", 1, 0)</f>
        <v>0</v>
      </c>
    </row>
    <row r="240" spans="1:8">
      <c r="A240" t="str">
        <f>'Cleaned Data'!A240</f>
        <v>STR-1060</v>
      </c>
      <c r="B240" s="3">
        <f>'Cleaned Data'!B240</f>
        <v>45717</v>
      </c>
      <c r="C240">
        <f>IF('Cleaned Data'!C240="West", 1, 0)</f>
        <v>1</v>
      </c>
      <c r="D240">
        <f>IF('Cleaned Data'!C240="North", 1, 0)</f>
        <v>0</v>
      </c>
      <c r="E240">
        <f>IF('Cleaned Data'!C240="South", 1, 0)</f>
        <v>0</v>
      </c>
      <c r="F240">
        <f>IF('Cleaned Data'!D240="High Street", 1, 0)</f>
        <v>0</v>
      </c>
      <c r="G240">
        <f>IF('Cleaned Data'!D240="Residential", 1, 0)</f>
        <v>0</v>
      </c>
      <c r="H240">
        <f>IF('Cleaned Data'!D240="Airport", 1, 0)</f>
        <v>0</v>
      </c>
    </row>
    <row r="241" spans="1:8">
      <c r="A241" t="str">
        <f>'Cleaned Data'!A241</f>
        <v>STR-1060</v>
      </c>
      <c r="B241" s="3">
        <f>'Cleaned Data'!B241</f>
        <v>45748</v>
      </c>
      <c r="C241">
        <f>IF('Cleaned Data'!C241="West", 1, 0)</f>
        <v>1</v>
      </c>
      <c r="D241">
        <f>IF('Cleaned Data'!C241="North", 1, 0)</f>
        <v>0</v>
      </c>
      <c r="E241">
        <f>IF('Cleaned Data'!C241="South", 1, 0)</f>
        <v>0</v>
      </c>
      <c r="F241">
        <f>IF('Cleaned Data'!D241="High Street", 1, 0)</f>
        <v>0</v>
      </c>
      <c r="G241">
        <f>IF('Cleaned Data'!D241="Residential", 1, 0)</f>
        <v>0</v>
      </c>
      <c r="H241">
        <f>IF('Cleaned Data'!D241="Airport", 1, 0)</f>
        <v>0</v>
      </c>
    </row>
    <row r="242" spans="1:8">
      <c r="A242" t="str">
        <f>'Cleaned Data'!A242</f>
        <v>STR-1061</v>
      </c>
      <c r="B242" s="3">
        <f>'Cleaned Data'!B242</f>
        <v>45658</v>
      </c>
      <c r="C242">
        <f>IF('Cleaned Data'!C242="West", 1, 0)</f>
        <v>0</v>
      </c>
      <c r="D242">
        <f>IF('Cleaned Data'!C242="North", 1, 0)</f>
        <v>0</v>
      </c>
      <c r="E242">
        <f>IF('Cleaned Data'!C242="South", 1, 0)</f>
        <v>1</v>
      </c>
      <c r="F242">
        <f>IF('Cleaned Data'!D242="High Street", 1, 0)</f>
        <v>0</v>
      </c>
      <c r="G242">
        <f>IF('Cleaned Data'!D242="Residential", 1, 0)</f>
        <v>0</v>
      </c>
      <c r="H242">
        <f>IF('Cleaned Data'!D242="Airport", 1, 0)</f>
        <v>1</v>
      </c>
    </row>
    <row r="243" spans="1:8">
      <c r="A243" t="str">
        <f>'Cleaned Data'!A243</f>
        <v>STR-1061</v>
      </c>
      <c r="B243" s="3">
        <f>'Cleaned Data'!B243</f>
        <v>45689</v>
      </c>
      <c r="C243">
        <f>IF('Cleaned Data'!C243="West", 1, 0)</f>
        <v>0</v>
      </c>
      <c r="D243">
        <f>IF('Cleaned Data'!C243="North", 1, 0)</f>
        <v>0</v>
      </c>
      <c r="E243">
        <f>IF('Cleaned Data'!C243="South", 1, 0)</f>
        <v>1</v>
      </c>
      <c r="F243">
        <f>IF('Cleaned Data'!D243="High Street", 1, 0)</f>
        <v>0</v>
      </c>
      <c r="G243">
        <f>IF('Cleaned Data'!D243="Residential", 1, 0)</f>
        <v>0</v>
      </c>
      <c r="H243">
        <f>IF('Cleaned Data'!D243="Airport", 1, 0)</f>
        <v>1</v>
      </c>
    </row>
    <row r="244" spans="1:8">
      <c r="A244" t="str">
        <f>'Cleaned Data'!A244</f>
        <v>STR-1061</v>
      </c>
      <c r="B244" s="3">
        <f>'Cleaned Data'!B244</f>
        <v>45717</v>
      </c>
      <c r="C244">
        <f>IF('Cleaned Data'!C244="West", 1, 0)</f>
        <v>0</v>
      </c>
      <c r="D244">
        <f>IF('Cleaned Data'!C244="North", 1, 0)</f>
        <v>0</v>
      </c>
      <c r="E244">
        <f>IF('Cleaned Data'!C244="South", 1, 0)</f>
        <v>1</v>
      </c>
      <c r="F244">
        <f>IF('Cleaned Data'!D244="High Street", 1, 0)</f>
        <v>0</v>
      </c>
      <c r="G244">
        <f>IF('Cleaned Data'!D244="Residential", 1, 0)</f>
        <v>0</v>
      </c>
      <c r="H244">
        <f>IF('Cleaned Data'!D244="Airport", 1, 0)</f>
        <v>1</v>
      </c>
    </row>
    <row r="245" spans="1:8">
      <c r="A245" t="str">
        <f>'Cleaned Data'!A245</f>
        <v>STR-1061</v>
      </c>
      <c r="B245" s="3">
        <f>'Cleaned Data'!B245</f>
        <v>45748</v>
      </c>
      <c r="C245">
        <f>IF('Cleaned Data'!C245="West", 1, 0)</f>
        <v>0</v>
      </c>
      <c r="D245">
        <f>IF('Cleaned Data'!C245="North", 1, 0)</f>
        <v>0</v>
      </c>
      <c r="E245">
        <f>IF('Cleaned Data'!C245="South", 1, 0)</f>
        <v>1</v>
      </c>
      <c r="F245">
        <f>IF('Cleaned Data'!D245="High Street", 1, 0)</f>
        <v>0</v>
      </c>
      <c r="G245">
        <f>IF('Cleaned Data'!D245="Residential", 1, 0)</f>
        <v>0</v>
      </c>
      <c r="H245">
        <f>IF('Cleaned Data'!D245="Airport", 1, 0)</f>
        <v>1</v>
      </c>
    </row>
    <row r="246" spans="1:8">
      <c r="A246" t="str">
        <f>'Cleaned Data'!A246</f>
        <v>STR-1062</v>
      </c>
      <c r="B246" s="3">
        <f>'Cleaned Data'!B246</f>
        <v>45658</v>
      </c>
      <c r="C246">
        <f>IF('Cleaned Data'!C246="West", 1, 0)</f>
        <v>0</v>
      </c>
      <c r="D246">
        <f>IF('Cleaned Data'!C246="North", 1, 0)</f>
        <v>0</v>
      </c>
      <c r="E246">
        <f>IF('Cleaned Data'!C246="South", 1, 0)</f>
        <v>0</v>
      </c>
      <c r="F246">
        <f>IF('Cleaned Data'!D246="High Street", 1, 0)</f>
        <v>1</v>
      </c>
      <c r="G246">
        <f>IF('Cleaned Data'!D246="Residential", 1, 0)</f>
        <v>0</v>
      </c>
      <c r="H246">
        <f>IF('Cleaned Data'!D246="Airport", 1, 0)</f>
        <v>0</v>
      </c>
    </row>
    <row r="247" spans="1:8">
      <c r="A247" t="str">
        <f>'Cleaned Data'!A247</f>
        <v>STR-1062</v>
      </c>
      <c r="B247" s="3">
        <f>'Cleaned Data'!B247</f>
        <v>45689</v>
      </c>
      <c r="C247">
        <f>IF('Cleaned Data'!C247="West", 1, 0)</f>
        <v>0</v>
      </c>
      <c r="D247">
        <f>IF('Cleaned Data'!C247="North", 1, 0)</f>
        <v>0</v>
      </c>
      <c r="E247">
        <f>IF('Cleaned Data'!C247="South", 1, 0)</f>
        <v>0</v>
      </c>
      <c r="F247">
        <f>IF('Cleaned Data'!D247="High Street", 1, 0)</f>
        <v>1</v>
      </c>
      <c r="G247">
        <f>IF('Cleaned Data'!D247="Residential", 1, 0)</f>
        <v>0</v>
      </c>
      <c r="H247">
        <f>IF('Cleaned Data'!D247="Airport", 1, 0)</f>
        <v>0</v>
      </c>
    </row>
    <row r="248" spans="1:8">
      <c r="A248" t="str">
        <f>'Cleaned Data'!A248</f>
        <v>STR-1062</v>
      </c>
      <c r="B248" s="3">
        <f>'Cleaned Data'!B248</f>
        <v>45717</v>
      </c>
      <c r="C248">
        <f>IF('Cleaned Data'!C248="West", 1, 0)</f>
        <v>0</v>
      </c>
      <c r="D248">
        <f>IF('Cleaned Data'!C248="North", 1, 0)</f>
        <v>0</v>
      </c>
      <c r="E248">
        <f>IF('Cleaned Data'!C248="South", 1, 0)</f>
        <v>0</v>
      </c>
      <c r="F248">
        <f>IF('Cleaned Data'!D248="High Street", 1, 0)</f>
        <v>1</v>
      </c>
      <c r="G248">
        <f>IF('Cleaned Data'!D248="Residential", 1, 0)</f>
        <v>0</v>
      </c>
      <c r="H248">
        <f>IF('Cleaned Data'!D248="Airport", 1, 0)</f>
        <v>0</v>
      </c>
    </row>
    <row r="249" spans="1:8">
      <c r="A249" t="str">
        <f>'Cleaned Data'!A249</f>
        <v>STR-1062</v>
      </c>
      <c r="B249" s="3">
        <f>'Cleaned Data'!B249</f>
        <v>45748</v>
      </c>
      <c r="C249">
        <f>IF('Cleaned Data'!C249="West", 1, 0)</f>
        <v>0</v>
      </c>
      <c r="D249">
        <f>IF('Cleaned Data'!C249="North", 1, 0)</f>
        <v>0</v>
      </c>
      <c r="E249">
        <f>IF('Cleaned Data'!C249="South", 1, 0)</f>
        <v>0</v>
      </c>
      <c r="F249">
        <f>IF('Cleaned Data'!D249="High Street", 1, 0)</f>
        <v>1</v>
      </c>
      <c r="G249">
        <f>IF('Cleaned Data'!D249="Residential", 1, 0)</f>
        <v>0</v>
      </c>
      <c r="H249">
        <f>IF('Cleaned Data'!D249="Airport", 1, 0)</f>
        <v>0</v>
      </c>
    </row>
    <row r="250" spans="1:8">
      <c r="A250" t="str">
        <f>'Cleaned Data'!A250</f>
        <v>STR-1063</v>
      </c>
      <c r="B250" s="3">
        <f>'Cleaned Data'!B250</f>
        <v>45658</v>
      </c>
      <c r="C250">
        <f>IF('Cleaned Data'!C250="West", 1, 0)</f>
        <v>0</v>
      </c>
      <c r="D250">
        <f>IF('Cleaned Data'!C250="North", 1, 0)</f>
        <v>1</v>
      </c>
      <c r="E250">
        <f>IF('Cleaned Data'!C250="South", 1, 0)</f>
        <v>0</v>
      </c>
      <c r="F250">
        <f>IF('Cleaned Data'!D250="High Street", 1, 0)</f>
        <v>1</v>
      </c>
      <c r="G250">
        <f>IF('Cleaned Data'!D250="Residential", 1, 0)</f>
        <v>0</v>
      </c>
      <c r="H250">
        <f>IF('Cleaned Data'!D250="Airport", 1, 0)</f>
        <v>0</v>
      </c>
    </row>
    <row r="251" spans="1:8">
      <c r="A251" t="str">
        <f>'Cleaned Data'!A251</f>
        <v>STR-1063</v>
      </c>
      <c r="B251" s="3">
        <f>'Cleaned Data'!B251</f>
        <v>45689</v>
      </c>
      <c r="C251">
        <f>IF('Cleaned Data'!C251="West", 1, 0)</f>
        <v>0</v>
      </c>
      <c r="D251">
        <f>IF('Cleaned Data'!C251="North", 1, 0)</f>
        <v>1</v>
      </c>
      <c r="E251">
        <f>IF('Cleaned Data'!C251="South", 1, 0)</f>
        <v>0</v>
      </c>
      <c r="F251">
        <f>IF('Cleaned Data'!D251="High Street", 1, 0)</f>
        <v>1</v>
      </c>
      <c r="G251">
        <f>IF('Cleaned Data'!D251="Residential", 1, 0)</f>
        <v>0</v>
      </c>
      <c r="H251">
        <f>IF('Cleaned Data'!D251="Airport", 1, 0)</f>
        <v>0</v>
      </c>
    </row>
    <row r="252" spans="1:8">
      <c r="A252" t="str">
        <f>'Cleaned Data'!A252</f>
        <v>STR-1063</v>
      </c>
      <c r="B252" s="3">
        <f>'Cleaned Data'!B252</f>
        <v>45717</v>
      </c>
      <c r="C252">
        <f>IF('Cleaned Data'!C252="West", 1, 0)</f>
        <v>0</v>
      </c>
      <c r="D252">
        <f>IF('Cleaned Data'!C252="North", 1, 0)</f>
        <v>1</v>
      </c>
      <c r="E252">
        <f>IF('Cleaned Data'!C252="South", 1, 0)</f>
        <v>0</v>
      </c>
      <c r="F252">
        <f>IF('Cleaned Data'!D252="High Street", 1, 0)</f>
        <v>1</v>
      </c>
      <c r="G252">
        <f>IF('Cleaned Data'!D252="Residential", 1, 0)</f>
        <v>0</v>
      </c>
      <c r="H252">
        <f>IF('Cleaned Data'!D252="Airport", 1, 0)</f>
        <v>0</v>
      </c>
    </row>
    <row r="253" spans="1:8">
      <c r="A253" t="str">
        <f>'Cleaned Data'!A253</f>
        <v>STR-1063</v>
      </c>
      <c r="B253" s="3">
        <f>'Cleaned Data'!B253</f>
        <v>45748</v>
      </c>
      <c r="C253">
        <f>IF('Cleaned Data'!C253="West", 1, 0)</f>
        <v>0</v>
      </c>
      <c r="D253">
        <f>IF('Cleaned Data'!C253="North", 1, 0)</f>
        <v>1</v>
      </c>
      <c r="E253">
        <f>IF('Cleaned Data'!C253="South", 1, 0)</f>
        <v>0</v>
      </c>
      <c r="F253">
        <f>IF('Cleaned Data'!D253="High Street", 1, 0)</f>
        <v>1</v>
      </c>
      <c r="G253">
        <f>IF('Cleaned Data'!D253="Residential", 1, 0)</f>
        <v>0</v>
      </c>
      <c r="H253">
        <f>IF('Cleaned Data'!D253="Airport", 1, 0)</f>
        <v>0</v>
      </c>
    </row>
    <row r="254" spans="1:8">
      <c r="A254" t="str">
        <f>'Cleaned Data'!A254</f>
        <v>STR-1064</v>
      </c>
      <c r="B254" s="3">
        <f>'Cleaned Data'!B254</f>
        <v>45658</v>
      </c>
      <c r="C254">
        <f>IF('Cleaned Data'!C254="West", 1, 0)</f>
        <v>0</v>
      </c>
      <c r="D254">
        <f>IF('Cleaned Data'!C254="North", 1, 0)</f>
        <v>0</v>
      </c>
      <c r="E254">
        <f>IF('Cleaned Data'!C254="South", 1, 0)</f>
        <v>1</v>
      </c>
      <c r="F254">
        <f>IF('Cleaned Data'!D254="High Street", 1, 0)</f>
        <v>0</v>
      </c>
      <c r="G254">
        <f>IF('Cleaned Data'!D254="Residential", 1, 0)</f>
        <v>0</v>
      </c>
      <c r="H254">
        <f>IF('Cleaned Data'!D254="Airport", 1, 0)</f>
        <v>1</v>
      </c>
    </row>
    <row r="255" spans="1:8">
      <c r="A255" t="str">
        <f>'Cleaned Data'!A255</f>
        <v>STR-1064</v>
      </c>
      <c r="B255" s="3">
        <f>'Cleaned Data'!B255</f>
        <v>45689</v>
      </c>
      <c r="C255">
        <f>IF('Cleaned Data'!C255="West", 1, 0)</f>
        <v>0</v>
      </c>
      <c r="D255">
        <f>IF('Cleaned Data'!C255="North", 1, 0)</f>
        <v>0</v>
      </c>
      <c r="E255">
        <f>IF('Cleaned Data'!C255="South", 1, 0)</f>
        <v>1</v>
      </c>
      <c r="F255">
        <f>IF('Cleaned Data'!D255="High Street", 1, 0)</f>
        <v>0</v>
      </c>
      <c r="G255">
        <f>IF('Cleaned Data'!D255="Residential", 1, 0)</f>
        <v>0</v>
      </c>
      <c r="H255">
        <f>IF('Cleaned Data'!D255="Airport", 1, 0)</f>
        <v>1</v>
      </c>
    </row>
    <row r="256" spans="1:8">
      <c r="A256" t="str">
        <f>'Cleaned Data'!A256</f>
        <v>STR-1064</v>
      </c>
      <c r="B256" s="3">
        <f>'Cleaned Data'!B256</f>
        <v>45717</v>
      </c>
      <c r="C256">
        <f>IF('Cleaned Data'!C256="West", 1, 0)</f>
        <v>0</v>
      </c>
      <c r="D256">
        <f>IF('Cleaned Data'!C256="North", 1, 0)</f>
        <v>0</v>
      </c>
      <c r="E256">
        <f>IF('Cleaned Data'!C256="South", 1, 0)</f>
        <v>1</v>
      </c>
      <c r="F256">
        <f>IF('Cleaned Data'!D256="High Street", 1, 0)</f>
        <v>0</v>
      </c>
      <c r="G256">
        <f>IF('Cleaned Data'!D256="Residential", 1, 0)</f>
        <v>0</v>
      </c>
      <c r="H256">
        <f>IF('Cleaned Data'!D256="Airport", 1, 0)</f>
        <v>1</v>
      </c>
    </row>
    <row r="257" spans="1:8">
      <c r="A257" t="str">
        <f>'Cleaned Data'!A257</f>
        <v>STR-1064</v>
      </c>
      <c r="B257" s="3">
        <f>'Cleaned Data'!B257</f>
        <v>45748</v>
      </c>
      <c r="C257">
        <f>IF('Cleaned Data'!C257="West", 1, 0)</f>
        <v>0</v>
      </c>
      <c r="D257">
        <f>IF('Cleaned Data'!C257="North", 1, 0)</f>
        <v>0</v>
      </c>
      <c r="E257">
        <f>IF('Cleaned Data'!C257="South", 1, 0)</f>
        <v>1</v>
      </c>
      <c r="F257">
        <f>IF('Cleaned Data'!D257="High Street", 1, 0)</f>
        <v>0</v>
      </c>
      <c r="G257">
        <f>IF('Cleaned Data'!D257="Residential", 1, 0)</f>
        <v>0</v>
      </c>
      <c r="H257">
        <f>IF('Cleaned Data'!D257="Airport", 1, 0)</f>
        <v>1</v>
      </c>
    </row>
    <row r="258" spans="1:8">
      <c r="A258" t="str">
        <f>'Cleaned Data'!A258</f>
        <v>STR-1065</v>
      </c>
      <c r="B258" s="3">
        <f>'Cleaned Data'!B258</f>
        <v>45658</v>
      </c>
      <c r="C258">
        <f>IF('Cleaned Data'!C258="West", 1, 0)</f>
        <v>0</v>
      </c>
      <c r="D258">
        <f>IF('Cleaned Data'!C258="North", 1, 0)</f>
        <v>0</v>
      </c>
      <c r="E258">
        <f>IF('Cleaned Data'!C258="South", 1, 0)</f>
        <v>1</v>
      </c>
      <c r="F258">
        <f>IF('Cleaned Data'!D258="High Street", 1, 0)</f>
        <v>0</v>
      </c>
      <c r="G258">
        <f>IF('Cleaned Data'!D258="Residential", 1, 0)</f>
        <v>0</v>
      </c>
      <c r="H258">
        <f>IF('Cleaned Data'!D258="Airport", 1, 0)</f>
        <v>0</v>
      </c>
    </row>
    <row r="259" spans="1:8">
      <c r="A259" t="str">
        <f>'Cleaned Data'!A259</f>
        <v>STR-1065</v>
      </c>
      <c r="B259" s="3">
        <f>'Cleaned Data'!B259</f>
        <v>45689</v>
      </c>
      <c r="C259">
        <f>IF('Cleaned Data'!C259="West", 1, 0)</f>
        <v>0</v>
      </c>
      <c r="D259">
        <f>IF('Cleaned Data'!C259="North", 1, 0)</f>
        <v>0</v>
      </c>
      <c r="E259">
        <f>IF('Cleaned Data'!C259="South", 1, 0)</f>
        <v>1</v>
      </c>
      <c r="F259">
        <f>IF('Cleaned Data'!D259="High Street", 1, 0)</f>
        <v>0</v>
      </c>
      <c r="G259">
        <f>IF('Cleaned Data'!D259="Residential", 1, 0)</f>
        <v>0</v>
      </c>
      <c r="H259">
        <f>IF('Cleaned Data'!D259="Airport", 1, 0)</f>
        <v>0</v>
      </c>
    </row>
    <row r="260" spans="1:8">
      <c r="A260" t="str">
        <f>'Cleaned Data'!A260</f>
        <v>STR-1065</v>
      </c>
      <c r="B260" s="3">
        <f>'Cleaned Data'!B260</f>
        <v>45717</v>
      </c>
      <c r="C260">
        <f>IF('Cleaned Data'!C260="West", 1, 0)</f>
        <v>0</v>
      </c>
      <c r="D260">
        <f>IF('Cleaned Data'!C260="North", 1, 0)</f>
        <v>0</v>
      </c>
      <c r="E260">
        <f>IF('Cleaned Data'!C260="South", 1, 0)</f>
        <v>1</v>
      </c>
      <c r="F260">
        <f>IF('Cleaned Data'!D260="High Street", 1, 0)</f>
        <v>0</v>
      </c>
      <c r="G260">
        <f>IF('Cleaned Data'!D260="Residential", 1, 0)</f>
        <v>0</v>
      </c>
      <c r="H260">
        <f>IF('Cleaned Data'!D260="Airport", 1, 0)</f>
        <v>0</v>
      </c>
    </row>
    <row r="261" spans="1:8">
      <c r="A261" t="str">
        <f>'Cleaned Data'!A261</f>
        <v>STR-1065</v>
      </c>
      <c r="B261" s="3">
        <f>'Cleaned Data'!B261</f>
        <v>45748</v>
      </c>
      <c r="C261">
        <f>IF('Cleaned Data'!C261="West", 1, 0)</f>
        <v>0</v>
      </c>
      <c r="D261">
        <f>IF('Cleaned Data'!C261="North", 1, 0)</f>
        <v>0</v>
      </c>
      <c r="E261">
        <f>IF('Cleaned Data'!C261="South", 1, 0)</f>
        <v>1</v>
      </c>
      <c r="F261">
        <f>IF('Cleaned Data'!D261="High Street", 1, 0)</f>
        <v>0</v>
      </c>
      <c r="G261">
        <f>IF('Cleaned Data'!D261="Residential", 1, 0)</f>
        <v>0</v>
      </c>
      <c r="H261">
        <f>IF('Cleaned Data'!D261="Airport", 1, 0)</f>
        <v>0</v>
      </c>
    </row>
    <row r="262" spans="1:8">
      <c r="A262" t="str">
        <f>'Cleaned Data'!A262</f>
        <v>STR-1066</v>
      </c>
      <c r="B262" s="3">
        <f>'Cleaned Data'!B262</f>
        <v>45658</v>
      </c>
      <c r="C262">
        <f>IF('Cleaned Data'!C262="West", 1, 0)</f>
        <v>1</v>
      </c>
      <c r="D262">
        <f>IF('Cleaned Data'!C262="North", 1, 0)</f>
        <v>0</v>
      </c>
      <c r="E262">
        <f>IF('Cleaned Data'!C262="South", 1, 0)</f>
        <v>0</v>
      </c>
      <c r="F262">
        <f>IF('Cleaned Data'!D262="High Street", 1, 0)</f>
        <v>1</v>
      </c>
      <c r="G262">
        <f>IF('Cleaned Data'!D262="Residential", 1, 0)</f>
        <v>0</v>
      </c>
      <c r="H262">
        <f>IF('Cleaned Data'!D262="Airport", 1, 0)</f>
        <v>0</v>
      </c>
    </row>
    <row r="263" spans="1:8">
      <c r="A263" t="str">
        <f>'Cleaned Data'!A263</f>
        <v>STR-1066</v>
      </c>
      <c r="B263" s="3">
        <f>'Cleaned Data'!B263</f>
        <v>45689</v>
      </c>
      <c r="C263">
        <f>IF('Cleaned Data'!C263="West", 1, 0)</f>
        <v>1</v>
      </c>
      <c r="D263">
        <f>IF('Cleaned Data'!C263="North", 1, 0)</f>
        <v>0</v>
      </c>
      <c r="E263">
        <f>IF('Cleaned Data'!C263="South", 1, 0)</f>
        <v>0</v>
      </c>
      <c r="F263">
        <f>IF('Cleaned Data'!D263="High Street", 1, 0)</f>
        <v>1</v>
      </c>
      <c r="G263">
        <f>IF('Cleaned Data'!D263="Residential", 1, 0)</f>
        <v>0</v>
      </c>
      <c r="H263">
        <f>IF('Cleaned Data'!D263="Airport", 1, 0)</f>
        <v>0</v>
      </c>
    </row>
    <row r="264" spans="1:8">
      <c r="A264" t="str">
        <f>'Cleaned Data'!A264</f>
        <v>STR-1066</v>
      </c>
      <c r="B264" s="3">
        <f>'Cleaned Data'!B264</f>
        <v>45717</v>
      </c>
      <c r="C264">
        <f>IF('Cleaned Data'!C264="West", 1, 0)</f>
        <v>1</v>
      </c>
      <c r="D264">
        <f>IF('Cleaned Data'!C264="North", 1, 0)</f>
        <v>0</v>
      </c>
      <c r="E264">
        <f>IF('Cleaned Data'!C264="South", 1, 0)</f>
        <v>0</v>
      </c>
      <c r="F264">
        <f>IF('Cleaned Data'!D264="High Street", 1, 0)</f>
        <v>1</v>
      </c>
      <c r="G264">
        <f>IF('Cleaned Data'!D264="Residential", 1, 0)</f>
        <v>0</v>
      </c>
      <c r="H264">
        <f>IF('Cleaned Data'!D264="Airport", 1, 0)</f>
        <v>0</v>
      </c>
    </row>
    <row r="265" spans="1:8">
      <c r="A265" t="str">
        <f>'Cleaned Data'!A265</f>
        <v>STR-1066</v>
      </c>
      <c r="B265" s="3">
        <f>'Cleaned Data'!B265</f>
        <v>45748</v>
      </c>
      <c r="C265">
        <f>IF('Cleaned Data'!C265="West", 1, 0)</f>
        <v>1</v>
      </c>
      <c r="D265">
        <f>IF('Cleaned Data'!C265="North", 1, 0)</f>
        <v>0</v>
      </c>
      <c r="E265">
        <f>IF('Cleaned Data'!C265="South", 1, 0)</f>
        <v>0</v>
      </c>
      <c r="F265">
        <f>IF('Cleaned Data'!D265="High Street", 1, 0)</f>
        <v>1</v>
      </c>
      <c r="G265">
        <f>IF('Cleaned Data'!D265="Residential", 1, 0)</f>
        <v>0</v>
      </c>
      <c r="H265">
        <f>IF('Cleaned Data'!D265="Airport", 1, 0)</f>
        <v>0</v>
      </c>
    </row>
    <row r="266" spans="1:8">
      <c r="A266" t="str">
        <f>'Cleaned Data'!A266</f>
        <v>STR-1067</v>
      </c>
      <c r="B266" s="3">
        <f>'Cleaned Data'!B266</f>
        <v>45658</v>
      </c>
      <c r="C266">
        <f>IF('Cleaned Data'!C266="West", 1, 0)</f>
        <v>0</v>
      </c>
      <c r="D266">
        <f>IF('Cleaned Data'!C266="North", 1, 0)</f>
        <v>0</v>
      </c>
      <c r="E266">
        <f>IF('Cleaned Data'!C266="South", 1, 0)</f>
        <v>0</v>
      </c>
      <c r="F266">
        <f>IF('Cleaned Data'!D266="High Street", 1, 0)</f>
        <v>1</v>
      </c>
      <c r="G266">
        <f>IF('Cleaned Data'!D266="Residential", 1, 0)</f>
        <v>0</v>
      </c>
      <c r="H266">
        <f>IF('Cleaned Data'!D266="Airport", 1, 0)</f>
        <v>0</v>
      </c>
    </row>
    <row r="267" spans="1:8">
      <c r="A267" t="str">
        <f>'Cleaned Data'!A267</f>
        <v>STR-1067</v>
      </c>
      <c r="B267" s="3">
        <f>'Cleaned Data'!B267</f>
        <v>45689</v>
      </c>
      <c r="C267">
        <f>IF('Cleaned Data'!C267="West", 1, 0)</f>
        <v>0</v>
      </c>
      <c r="D267">
        <f>IF('Cleaned Data'!C267="North", 1, 0)</f>
        <v>0</v>
      </c>
      <c r="E267">
        <f>IF('Cleaned Data'!C267="South", 1, 0)</f>
        <v>0</v>
      </c>
      <c r="F267">
        <f>IF('Cleaned Data'!D267="High Street", 1, 0)</f>
        <v>1</v>
      </c>
      <c r="G267">
        <f>IF('Cleaned Data'!D267="Residential", 1, 0)</f>
        <v>0</v>
      </c>
      <c r="H267">
        <f>IF('Cleaned Data'!D267="Airport", 1, 0)</f>
        <v>0</v>
      </c>
    </row>
    <row r="268" spans="1:8">
      <c r="A268" t="str">
        <f>'Cleaned Data'!A268</f>
        <v>STR-1067</v>
      </c>
      <c r="B268" s="3">
        <f>'Cleaned Data'!B268</f>
        <v>45717</v>
      </c>
      <c r="C268">
        <f>IF('Cleaned Data'!C268="West", 1, 0)</f>
        <v>0</v>
      </c>
      <c r="D268">
        <f>IF('Cleaned Data'!C268="North", 1, 0)</f>
        <v>0</v>
      </c>
      <c r="E268">
        <f>IF('Cleaned Data'!C268="South", 1, 0)</f>
        <v>0</v>
      </c>
      <c r="F268">
        <f>IF('Cleaned Data'!D268="High Street", 1, 0)</f>
        <v>1</v>
      </c>
      <c r="G268">
        <f>IF('Cleaned Data'!D268="Residential", 1, 0)</f>
        <v>0</v>
      </c>
      <c r="H268">
        <f>IF('Cleaned Data'!D268="Airport", 1, 0)</f>
        <v>0</v>
      </c>
    </row>
    <row r="269" spans="1:8">
      <c r="A269" t="str">
        <f>'Cleaned Data'!A269</f>
        <v>STR-1067</v>
      </c>
      <c r="B269" s="3">
        <f>'Cleaned Data'!B269</f>
        <v>45748</v>
      </c>
      <c r="C269">
        <f>IF('Cleaned Data'!C269="West", 1, 0)</f>
        <v>0</v>
      </c>
      <c r="D269">
        <f>IF('Cleaned Data'!C269="North", 1, 0)</f>
        <v>0</v>
      </c>
      <c r="E269">
        <f>IF('Cleaned Data'!C269="South", 1, 0)</f>
        <v>0</v>
      </c>
      <c r="F269">
        <f>IF('Cleaned Data'!D269="High Street", 1, 0)</f>
        <v>1</v>
      </c>
      <c r="G269">
        <f>IF('Cleaned Data'!D269="Residential", 1, 0)</f>
        <v>0</v>
      </c>
      <c r="H269">
        <f>IF('Cleaned Data'!D269="Airport", 1, 0)</f>
        <v>0</v>
      </c>
    </row>
    <row r="270" spans="1:8">
      <c r="A270" t="str">
        <f>'Cleaned Data'!A270</f>
        <v>STR-1068</v>
      </c>
      <c r="B270" s="3">
        <f>'Cleaned Data'!B270</f>
        <v>45658</v>
      </c>
      <c r="C270">
        <f>IF('Cleaned Data'!C270="West", 1, 0)</f>
        <v>0</v>
      </c>
      <c r="D270">
        <f>IF('Cleaned Data'!C270="North", 1, 0)</f>
        <v>0</v>
      </c>
      <c r="E270">
        <f>IF('Cleaned Data'!C270="South", 1, 0)</f>
        <v>0</v>
      </c>
      <c r="F270">
        <f>IF('Cleaned Data'!D270="High Street", 1, 0)</f>
        <v>0</v>
      </c>
      <c r="G270">
        <f>IF('Cleaned Data'!D270="Residential", 1, 0)</f>
        <v>0</v>
      </c>
      <c r="H270">
        <f>IF('Cleaned Data'!D270="Airport", 1, 0)</f>
        <v>0</v>
      </c>
    </row>
    <row r="271" spans="1:8">
      <c r="A271" t="str">
        <f>'Cleaned Data'!A271</f>
        <v>STR-1068</v>
      </c>
      <c r="B271" s="3">
        <f>'Cleaned Data'!B271</f>
        <v>45689</v>
      </c>
      <c r="C271">
        <f>IF('Cleaned Data'!C271="West", 1, 0)</f>
        <v>0</v>
      </c>
      <c r="D271">
        <f>IF('Cleaned Data'!C271="North", 1, 0)</f>
        <v>0</v>
      </c>
      <c r="E271">
        <f>IF('Cleaned Data'!C271="South", 1, 0)</f>
        <v>0</v>
      </c>
      <c r="F271">
        <f>IF('Cleaned Data'!D271="High Street", 1, 0)</f>
        <v>0</v>
      </c>
      <c r="G271">
        <f>IF('Cleaned Data'!D271="Residential", 1, 0)</f>
        <v>0</v>
      </c>
      <c r="H271">
        <f>IF('Cleaned Data'!D271="Airport", 1, 0)</f>
        <v>0</v>
      </c>
    </row>
    <row r="272" spans="1:8">
      <c r="A272" t="str">
        <f>'Cleaned Data'!A272</f>
        <v>STR-1068</v>
      </c>
      <c r="B272" s="3">
        <f>'Cleaned Data'!B272</f>
        <v>45717</v>
      </c>
      <c r="C272">
        <f>IF('Cleaned Data'!C272="West", 1, 0)</f>
        <v>0</v>
      </c>
      <c r="D272">
        <f>IF('Cleaned Data'!C272="North", 1, 0)</f>
        <v>0</v>
      </c>
      <c r="E272">
        <f>IF('Cleaned Data'!C272="South", 1, 0)</f>
        <v>0</v>
      </c>
      <c r="F272">
        <f>IF('Cleaned Data'!D272="High Street", 1, 0)</f>
        <v>0</v>
      </c>
      <c r="G272">
        <f>IF('Cleaned Data'!D272="Residential", 1, 0)</f>
        <v>0</v>
      </c>
      <c r="H272">
        <f>IF('Cleaned Data'!D272="Airport", 1, 0)</f>
        <v>0</v>
      </c>
    </row>
    <row r="273" spans="1:8">
      <c r="A273" t="str">
        <f>'Cleaned Data'!A273</f>
        <v>STR-1068</v>
      </c>
      <c r="B273" s="3">
        <f>'Cleaned Data'!B273</f>
        <v>45748</v>
      </c>
      <c r="C273">
        <f>IF('Cleaned Data'!C273="West", 1, 0)</f>
        <v>0</v>
      </c>
      <c r="D273">
        <f>IF('Cleaned Data'!C273="North", 1, 0)</f>
        <v>0</v>
      </c>
      <c r="E273">
        <f>IF('Cleaned Data'!C273="South", 1, 0)</f>
        <v>0</v>
      </c>
      <c r="F273">
        <f>IF('Cleaned Data'!D273="High Street", 1, 0)</f>
        <v>0</v>
      </c>
      <c r="G273">
        <f>IF('Cleaned Data'!D273="Residential", 1, 0)</f>
        <v>0</v>
      </c>
      <c r="H273">
        <f>IF('Cleaned Data'!D273="Airport", 1, 0)</f>
        <v>0</v>
      </c>
    </row>
    <row r="274" spans="1:8">
      <c r="A274" t="str">
        <f>'Cleaned Data'!A274</f>
        <v>STR-1069</v>
      </c>
      <c r="B274" s="3">
        <f>'Cleaned Data'!B274</f>
        <v>45658</v>
      </c>
      <c r="C274">
        <f>IF('Cleaned Data'!C274="West", 1, 0)</f>
        <v>1</v>
      </c>
      <c r="D274">
        <f>IF('Cleaned Data'!C274="North", 1, 0)</f>
        <v>0</v>
      </c>
      <c r="E274">
        <f>IF('Cleaned Data'!C274="South", 1, 0)</f>
        <v>0</v>
      </c>
      <c r="F274">
        <f>IF('Cleaned Data'!D274="High Street", 1, 0)</f>
        <v>1</v>
      </c>
      <c r="G274">
        <f>IF('Cleaned Data'!D274="Residential", 1, 0)</f>
        <v>0</v>
      </c>
      <c r="H274">
        <f>IF('Cleaned Data'!D274="Airport", 1, 0)</f>
        <v>0</v>
      </c>
    </row>
    <row r="275" spans="1:8">
      <c r="A275" t="str">
        <f>'Cleaned Data'!A275</f>
        <v>STR-1069</v>
      </c>
      <c r="B275" s="3">
        <f>'Cleaned Data'!B275</f>
        <v>45689</v>
      </c>
      <c r="C275">
        <f>IF('Cleaned Data'!C275="West", 1, 0)</f>
        <v>1</v>
      </c>
      <c r="D275">
        <f>IF('Cleaned Data'!C275="North", 1, 0)</f>
        <v>0</v>
      </c>
      <c r="E275">
        <f>IF('Cleaned Data'!C275="South", 1, 0)</f>
        <v>0</v>
      </c>
      <c r="F275">
        <f>IF('Cleaned Data'!D275="High Street", 1, 0)</f>
        <v>1</v>
      </c>
      <c r="G275">
        <f>IF('Cleaned Data'!D275="Residential", 1, 0)</f>
        <v>0</v>
      </c>
      <c r="H275">
        <f>IF('Cleaned Data'!D275="Airport", 1, 0)</f>
        <v>0</v>
      </c>
    </row>
    <row r="276" spans="1:8">
      <c r="A276" t="str">
        <f>'Cleaned Data'!A276</f>
        <v>STR-1069</v>
      </c>
      <c r="B276" s="3">
        <f>'Cleaned Data'!B276</f>
        <v>45717</v>
      </c>
      <c r="C276">
        <f>IF('Cleaned Data'!C276="West", 1, 0)</f>
        <v>1</v>
      </c>
      <c r="D276">
        <f>IF('Cleaned Data'!C276="North", 1, 0)</f>
        <v>0</v>
      </c>
      <c r="E276">
        <f>IF('Cleaned Data'!C276="South", 1, 0)</f>
        <v>0</v>
      </c>
      <c r="F276">
        <f>IF('Cleaned Data'!D276="High Street", 1, 0)</f>
        <v>1</v>
      </c>
      <c r="G276">
        <f>IF('Cleaned Data'!D276="Residential", 1, 0)</f>
        <v>0</v>
      </c>
      <c r="H276">
        <f>IF('Cleaned Data'!D276="Airport", 1, 0)</f>
        <v>0</v>
      </c>
    </row>
    <row r="277" spans="1:8">
      <c r="A277" t="str">
        <f>'Cleaned Data'!A277</f>
        <v>STR-1069</v>
      </c>
      <c r="B277" s="3">
        <f>'Cleaned Data'!B277</f>
        <v>45748</v>
      </c>
      <c r="C277">
        <f>IF('Cleaned Data'!C277="West", 1, 0)</f>
        <v>1</v>
      </c>
      <c r="D277">
        <f>IF('Cleaned Data'!C277="North", 1, 0)</f>
        <v>0</v>
      </c>
      <c r="E277">
        <f>IF('Cleaned Data'!C277="South", 1, 0)</f>
        <v>0</v>
      </c>
      <c r="F277">
        <f>IF('Cleaned Data'!D277="High Street", 1, 0)</f>
        <v>1</v>
      </c>
      <c r="G277">
        <f>IF('Cleaned Data'!D277="Residential", 1, 0)</f>
        <v>0</v>
      </c>
      <c r="H277">
        <f>IF('Cleaned Data'!D277="Airport", 1, 0)</f>
        <v>0</v>
      </c>
    </row>
    <row r="278" spans="1:8">
      <c r="A278" t="str">
        <f>'Cleaned Data'!A278</f>
        <v>STR-1070</v>
      </c>
      <c r="B278" s="3">
        <f>'Cleaned Data'!B278</f>
        <v>45658</v>
      </c>
      <c r="C278">
        <f>IF('Cleaned Data'!C278="West", 1, 0)</f>
        <v>0</v>
      </c>
      <c r="D278">
        <f>IF('Cleaned Data'!C278="North", 1, 0)</f>
        <v>0</v>
      </c>
      <c r="E278">
        <f>IF('Cleaned Data'!C278="South", 1, 0)</f>
        <v>1</v>
      </c>
      <c r="F278">
        <f>IF('Cleaned Data'!D278="High Street", 1, 0)</f>
        <v>0</v>
      </c>
      <c r="G278">
        <f>IF('Cleaned Data'!D278="Residential", 1, 0)</f>
        <v>1</v>
      </c>
      <c r="H278">
        <f>IF('Cleaned Data'!D278="Airport", 1, 0)</f>
        <v>0</v>
      </c>
    </row>
    <row r="279" spans="1:8">
      <c r="A279" t="str">
        <f>'Cleaned Data'!A279</f>
        <v>STR-1070</v>
      </c>
      <c r="B279" s="3">
        <f>'Cleaned Data'!B279</f>
        <v>45689</v>
      </c>
      <c r="C279">
        <f>IF('Cleaned Data'!C279="West", 1, 0)</f>
        <v>0</v>
      </c>
      <c r="D279">
        <f>IF('Cleaned Data'!C279="North", 1, 0)</f>
        <v>0</v>
      </c>
      <c r="E279">
        <f>IF('Cleaned Data'!C279="South", 1, 0)</f>
        <v>1</v>
      </c>
      <c r="F279">
        <f>IF('Cleaned Data'!D279="High Street", 1, 0)</f>
        <v>0</v>
      </c>
      <c r="G279">
        <f>IF('Cleaned Data'!D279="Residential", 1, 0)</f>
        <v>1</v>
      </c>
      <c r="H279">
        <f>IF('Cleaned Data'!D279="Airport", 1, 0)</f>
        <v>0</v>
      </c>
    </row>
    <row r="280" spans="1:8">
      <c r="A280" t="str">
        <f>'Cleaned Data'!A280</f>
        <v>STR-1070</v>
      </c>
      <c r="B280" s="3">
        <f>'Cleaned Data'!B280</f>
        <v>45717</v>
      </c>
      <c r="C280">
        <f>IF('Cleaned Data'!C280="West", 1, 0)</f>
        <v>0</v>
      </c>
      <c r="D280">
        <f>IF('Cleaned Data'!C280="North", 1, 0)</f>
        <v>0</v>
      </c>
      <c r="E280">
        <f>IF('Cleaned Data'!C280="South", 1, 0)</f>
        <v>1</v>
      </c>
      <c r="F280">
        <f>IF('Cleaned Data'!D280="High Street", 1, 0)</f>
        <v>0</v>
      </c>
      <c r="G280">
        <f>IF('Cleaned Data'!D280="Residential", 1, 0)</f>
        <v>1</v>
      </c>
      <c r="H280">
        <f>IF('Cleaned Data'!D280="Airport", 1, 0)</f>
        <v>0</v>
      </c>
    </row>
    <row r="281" spans="1:8">
      <c r="A281" t="str">
        <f>'Cleaned Data'!A281</f>
        <v>STR-1070</v>
      </c>
      <c r="B281" s="3">
        <f>'Cleaned Data'!B281</f>
        <v>45748</v>
      </c>
      <c r="C281">
        <f>IF('Cleaned Data'!C281="West", 1, 0)</f>
        <v>0</v>
      </c>
      <c r="D281">
        <f>IF('Cleaned Data'!C281="North", 1, 0)</f>
        <v>0</v>
      </c>
      <c r="E281">
        <f>IF('Cleaned Data'!C281="South", 1, 0)</f>
        <v>1</v>
      </c>
      <c r="F281">
        <f>IF('Cleaned Data'!D281="High Street", 1, 0)</f>
        <v>0</v>
      </c>
      <c r="G281">
        <f>IF('Cleaned Data'!D281="Residential", 1, 0)</f>
        <v>1</v>
      </c>
      <c r="H281">
        <f>IF('Cleaned Data'!D281="Airport", 1, 0)</f>
        <v>0</v>
      </c>
    </row>
    <row r="282" spans="1:8">
      <c r="A282" t="str">
        <f>'Cleaned Data'!A282</f>
        <v>STR-1071</v>
      </c>
      <c r="B282" s="3">
        <f>'Cleaned Data'!B282</f>
        <v>45658</v>
      </c>
      <c r="C282">
        <f>IF('Cleaned Data'!C282="West", 1, 0)</f>
        <v>0</v>
      </c>
      <c r="D282">
        <f>IF('Cleaned Data'!C282="North", 1, 0)</f>
        <v>0</v>
      </c>
      <c r="E282">
        <f>IF('Cleaned Data'!C282="South", 1, 0)</f>
        <v>1</v>
      </c>
      <c r="F282">
        <f>IF('Cleaned Data'!D282="High Street", 1, 0)</f>
        <v>1</v>
      </c>
      <c r="G282">
        <f>IF('Cleaned Data'!D282="Residential", 1, 0)</f>
        <v>0</v>
      </c>
      <c r="H282">
        <f>IF('Cleaned Data'!D282="Airport", 1, 0)</f>
        <v>0</v>
      </c>
    </row>
    <row r="283" spans="1:8">
      <c r="A283" t="str">
        <f>'Cleaned Data'!A283</f>
        <v>STR-1071</v>
      </c>
      <c r="B283" s="3">
        <f>'Cleaned Data'!B283</f>
        <v>45689</v>
      </c>
      <c r="C283">
        <f>IF('Cleaned Data'!C283="West", 1, 0)</f>
        <v>0</v>
      </c>
      <c r="D283">
        <f>IF('Cleaned Data'!C283="North", 1, 0)</f>
        <v>0</v>
      </c>
      <c r="E283">
        <f>IF('Cleaned Data'!C283="South", 1, 0)</f>
        <v>1</v>
      </c>
      <c r="F283">
        <f>IF('Cleaned Data'!D283="High Street", 1, 0)</f>
        <v>1</v>
      </c>
      <c r="G283">
        <f>IF('Cleaned Data'!D283="Residential", 1, 0)</f>
        <v>0</v>
      </c>
      <c r="H283">
        <f>IF('Cleaned Data'!D283="Airport", 1, 0)</f>
        <v>0</v>
      </c>
    </row>
    <row r="284" spans="1:8">
      <c r="A284" t="str">
        <f>'Cleaned Data'!A284</f>
        <v>STR-1071</v>
      </c>
      <c r="B284" s="3">
        <f>'Cleaned Data'!B284</f>
        <v>45717</v>
      </c>
      <c r="C284">
        <f>IF('Cleaned Data'!C284="West", 1, 0)</f>
        <v>0</v>
      </c>
      <c r="D284">
        <f>IF('Cleaned Data'!C284="North", 1, 0)</f>
        <v>0</v>
      </c>
      <c r="E284">
        <f>IF('Cleaned Data'!C284="South", 1, 0)</f>
        <v>1</v>
      </c>
      <c r="F284">
        <f>IF('Cleaned Data'!D284="High Street", 1, 0)</f>
        <v>1</v>
      </c>
      <c r="G284">
        <f>IF('Cleaned Data'!D284="Residential", 1, 0)</f>
        <v>0</v>
      </c>
      <c r="H284">
        <f>IF('Cleaned Data'!D284="Airport", 1, 0)</f>
        <v>0</v>
      </c>
    </row>
    <row r="285" spans="1:8">
      <c r="A285" t="str">
        <f>'Cleaned Data'!A285</f>
        <v>STR-1071</v>
      </c>
      <c r="B285" s="3">
        <f>'Cleaned Data'!B285</f>
        <v>45748</v>
      </c>
      <c r="C285">
        <f>IF('Cleaned Data'!C285="West", 1, 0)</f>
        <v>0</v>
      </c>
      <c r="D285">
        <f>IF('Cleaned Data'!C285="North", 1, 0)</f>
        <v>0</v>
      </c>
      <c r="E285">
        <f>IF('Cleaned Data'!C285="South", 1, 0)</f>
        <v>1</v>
      </c>
      <c r="F285">
        <f>IF('Cleaned Data'!D285="High Street", 1, 0)</f>
        <v>1</v>
      </c>
      <c r="G285">
        <f>IF('Cleaned Data'!D285="Residential", 1, 0)</f>
        <v>0</v>
      </c>
      <c r="H285">
        <f>IF('Cleaned Data'!D285="Airport", 1, 0)</f>
        <v>0</v>
      </c>
    </row>
    <row r="286" spans="1:8">
      <c r="A286" t="str">
        <f>'Cleaned Data'!A286</f>
        <v>STR-1072</v>
      </c>
      <c r="B286" s="3">
        <f>'Cleaned Data'!B286</f>
        <v>45658</v>
      </c>
      <c r="C286">
        <f>IF('Cleaned Data'!C286="West", 1, 0)</f>
        <v>1</v>
      </c>
      <c r="D286">
        <f>IF('Cleaned Data'!C286="North", 1, 0)</f>
        <v>0</v>
      </c>
      <c r="E286">
        <f>IF('Cleaned Data'!C286="South", 1, 0)</f>
        <v>0</v>
      </c>
      <c r="F286">
        <f>IF('Cleaned Data'!D286="High Street", 1, 0)</f>
        <v>0</v>
      </c>
      <c r="G286">
        <f>IF('Cleaned Data'!D286="Residential", 1, 0)</f>
        <v>1</v>
      </c>
      <c r="H286">
        <f>IF('Cleaned Data'!D286="Airport", 1, 0)</f>
        <v>0</v>
      </c>
    </row>
    <row r="287" spans="1:8">
      <c r="A287" t="str">
        <f>'Cleaned Data'!A287</f>
        <v>STR-1072</v>
      </c>
      <c r="B287" s="3">
        <f>'Cleaned Data'!B287</f>
        <v>45689</v>
      </c>
      <c r="C287">
        <f>IF('Cleaned Data'!C287="West", 1, 0)</f>
        <v>1</v>
      </c>
      <c r="D287">
        <f>IF('Cleaned Data'!C287="North", 1, 0)</f>
        <v>0</v>
      </c>
      <c r="E287">
        <f>IF('Cleaned Data'!C287="South", 1, 0)</f>
        <v>0</v>
      </c>
      <c r="F287">
        <f>IF('Cleaned Data'!D287="High Street", 1, 0)</f>
        <v>0</v>
      </c>
      <c r="G287">
        <f>IF('Cleaned Data'!D287="Residential", 1, 0)</f>
        <v>1</v>
      </c>
      <c r="H287">
        <f>IF('Cleaned Data'!D287="Airport", 1, 0)</f>
        <v>0</v>
      </c>
    </row>
    <row r="288" spans="1:8">
      <c r="A288" t="str">
        <f>'Cleaned Data'!A288</f>
        <v>STR-1072</v>
      </c>
      <c r="B288" s="3">
        <f>'Cleaned Data'!B288</f>
        <v>45717</v>
      </c>
      <c r="C288">
        <f>IF('Cleaned Data'!C288="West", 1, 0)</f>
        <v>1</v>
      </c>
      <c r="D288">
        <f>IF('Cleaned Data'!C288="North", 1, 0)</f>
        <v>0</v>
      </c>
      <c r="E288">
        <f>IF('Cleaned Data'!C288="South", 1, 0)</f>
        <v>0</v>
      </c>
      <c r="F288">
        <f>IF('Cleaned Data'!D288="High Street", 1, 0)</f>
        <v>0</v>
      </c>
      <c r="G288">
        <f>IF('Cleaned Data'!D288="Residential", 1, 0)</f>
        <v>1</v>
      </c>
      <c r="H288">
        <f>IF('Cleaned Data'!D288="Airport", 1, 0)</f>
        <v>0</v>
      </c>
    </row>
    <row r="289" spans="1:8">
      <c r="A289" t="str">
        <f>'Cleaned Data'!A289</f>
        <v>STR-1072</v>
      </c>
      <c r="B289" s="3">
        <f>'Cleaned Data'!B289</f>
        <v>45748</v>
      </c>
      <c r="C289">
        <f>IF('Cleaned Data'!C289="West", 1, 0)</f>
        <v>1</v>
      </c>
      <c r="D289">
        <f>IF('Cleaned Data'!C289="North", 1, 0)</f>
        <v>0</v>
      </c>
      <c r="E289">
        <f>IF('Cleaned Data'!C289="South", 1, 0)</f>
        <v>0</v>
      </c>
      <c r="F289">
        <f>IF('Cleaned Data'!D289="High Street", 1, 0)</f>
        <v>0</v>
      </c>
      <c r="G289">
        <f>IF('Cleaned Data'!D289="Residential", 1, 0)</f>
        <v>1</v>
      </c>
      <c r="H289">
        <f>IF('Cleaned Data'!D289="Airport", 1, 0)</f>
        <v>0</v>
      </c>
    </row>
    <row r="290" spans="1:8">
      <c r="A290" t="str">
        <f>'Cleaned Data'!A290</f>
        <v>STR-1073</v>
      </c>
      <c r="B290" s="3">
        <f>'Cleaned Data'!B290</f>
        <v>45658</v>
      </c>
      <c r="C290">
        <f>IF('Cleaned Data'!C290="West", 1, 0)</f>
        <v>0</v>
      </c>
      <c r="D290">
        <f>IF('Cleaned Data'!C290="North", 1, 0)</f>
        <v>0</v>
      </c>
      <c r="E290">
        <f>IF('Cleaned Data'!C290="South", 1, 0)</f>
        <v>0</v>
      </c>
      <c r="F290">
        <f>IF('Cleaned Data'!D290="High Street", 1, 0)</f>
        <v>0</v>
      </c>
      <c r="G290">
        <f>IF('Cleaned Data'!D290="Residential", 1, 0)</f>
        <v>1</v>
      </c>
      <c r="H290">
        <f>IF('Cleaned Data'!D290="Airport", 1, 0)</f>
        <v>0</v>
      </c>
    </row>
    <row r="291" spans="1:8">
      <c r="A291" t="str">
        <f>'Cleaned Data'!A291</f>
        <v>STR-1073</v>
      </c>
      <c r="B291" s="3">
        <f>'Cleaned Data'!B291</f>
        <v>45689</v>
      </c>
      <c r="C291">
        <f>IF('Cleaned Data'!C291="West", 1, 0)</f>
        <v>0</v>
      </c>
      <c r="D291">
        <f>IF('Cleaned Data'!C291="North", 1, 0)</f>
        <v>0</v>
      </c>
      <c r="E291">
        <f>IF('Cleaned Data'!C291="South", 1, 0)</f>
        <v>0</v>
      </c>
      <c r="F291">
        <f>IF('Cleaned Data'!D291="High Street", 1, 0)</f>
        <v>0</v>
      </c>
      <c r="G291">
        <f>IF('Cleaned Data'!D291="Residential", 1, 0)</f>
        <v>1</v>
      </c>
      <c r="H291">
        <f>IF('Cleaned Data'!D291="Airport", 1, 0)</f>
        <v>0</v>
      </c>
    </row>
    <row r="292" spans="1:8">
      <c r="A292" t="str">
        <f>'Cleaned Data'!A292</f>
        <v>STR-1073</v>
      </c>
      <c r="B292" s="3">
        <f>'Cleaned Data'!B292</f>
        <v>45717</v>
      </c>
      <c r="C292">
        <f>IF('Cleaned Data'!C292="West", 1, 0)</f>
        <v>0</v>
      </c>
      <c r="D292">
        <f>IF('Cleaned Data'!C292="North", 1, 0)</f>
        <v>0</v>
      </c>
      <c r="E292">
        <f>IF('Cleaned Data'!C292="South", 1, 0)</f>
        <v>0</v>
      </c>
      <c r="F292">
        <f>IF('Cleaned Data'!D292="High Street", 1, 0)</f>
        <v>0</v>
      </c>
      <c r="G292">
        <f>IF('Cleaned Data'!D292="Residential", 1, 0)</f>
        <v>1</v>
      </c>
      <c r="H292">
        <f>IF('Cleaned Data'!D292="Airport", 1, 0)</f>
        <v>0</v>
      </c>
    </row>
    <row r="293" spans="1:8">
      <c r="A293" t="str">
        <f>'Cleaned Data'!A293</f>
        <v>STR-1073</v>
      </c>
      <c r="B293" s="3">
        <f>'Cleaned Data'!B293</f>
        <v>45748</v>
      </c>
      <c r="C293">
        <f>IF('Cleaned Data'!C293="West", 1, 0)</f>
        <v>0</v>
      </c>
      <c r="D293">
        <f>IF('Cleaned Data'!C293="North", 1, 0)</f>
        <v>0</v>
      </c>
      <c r="E293">
        <f>IF('Cleaned Data'!C293="South", 1, 0)</f>
        <v>0</v>
      </c>
      <c r="F293">
        <f>IF('Cleaned Data'!D293="High Street", 1, 0)</f>
        <v>0</v>
      </c>
      <c r="G293">
        <f>IF('Cleaned Data'!D293="Residential", 1, 0)</f>
        <v>1</v>
      </c>
      <c r="H293">
        <f>IF('Cleaned Data'!D293="Airport", 1, 0)</f>
        <v>0</v>
      </c>
    </row>
    <row r="294" spans="1:8">
      <c r="A294" t="str">
        <f>'Cleaned Data'!A294</f>
        <v>STR-1074</v>
      </c>
      <c r="B294" s="3">
        <f>'Cleaned Data'!B294</f>
        <v>45658</v>
      </c>
      <c r="C294">
        <f>IF('Cleaned Data'!C294="West", 1, 0)</f>
        <v>1</v>
      </c>
      <c r="D294">
        <f>IF('Cleaned Data'!C294="North", 1, 0)</f>
        <v>0</v>
      </c>
      <c r="E294">
        <f>IF('Cleaned Data'!C294="South", 1, 0)</f>
        <v>0</v>
      </c>
      <c r="F294">
        <f>IF('Cleaned Data'!D294="High Street", 1, 0)</f>
        <v>1</v>
      </c>
      <c r="G294">
        <f>IF('Cleaned Data'!D294="Residential", 1, 0)</f>
        <v>0</v>
      </c>
      <c r="H294">
        <f>IF('Cleaned Data'!D294="Airport", 1, 0)</f>
        <v>0</v>
      </c>
    </row>
    <row r="295" spans="1:8">
      <c r="A295" t="str">
        <f>'Cleaned Data'!A295</f>
        <v>STR-1074</v>
      </c>
      <c r="B295" s="3">
        <f>'Cleaned Data'!B295</f>
        <v>45689</v>
      </c>
      <c r="C295">
        <f>IF('Cleaned Data'!C295="West", 1, 0)</f>
        <v>1</v>
      </c>
      <c r="D295">
        <f>IF('Cleaned Data'!C295="North", 1, 0)</f>
        <v>0</v>
      </c>
      <c r="E295">
        <f>IF('Cleaned Data'!C295="South", 1, 0)</f>
        <v>0</v>
      </c>
      <c r="F295">
        <f>IF('Cleaned Data'!D295="High Street", 1, 0)</f>
        <v>1</v>
      </c>
      <c r="G295">
        <f>IF('Cleaned Data'!D295="Residential", 1, 0)</f>
        <v>0</v>
      </c>
      <c r="H295">
        <f>IF('Cleaned Data'!D295="Airport", 1, 0)</f>
        <v>0</v>
      </c>
    </row>
    <row r="296" spans="1:8">
      <c r="A296" t="str">
        <f>'Cleaned Data'!A296</f>
        <v>STR-1074</v>
      </c>
      <c r="B296" s="3">
        <f>'Cleaned Data'!B296</f>
        <v>45717</v>
      </c>
      <c r="C296">
        <f>IF('Cleaned Data'!C296="West", 1, 0)</f>
        <v>1</v>
      </c>
      <c r="D296">
        <f>IF('Cleaned Data'!C296="North", 1, 0)</f>
        <v>0</v>
      </c>
      <c r="E296">
        <f>IF('Cleaned Data'!C296="South", 1, 0)</f>
        <v>0</v>
      </c>
      <c r="F296">
        <f>IF('Cleaned Data'!D296="High Street", 1, 0)</f>
        <v>1</v>
      </c>
      <c r="G296">
        <f>IF('Cleaned Data'!D296="Residential", 1, 0)</f>
        <v>0</v>
      </c>
      <c r="H296">
        <f>IF('Cleaned Data'!D296="Airport", 1, 0)</f>
        <v>0</v>
      </c>
    </row>
    <row r="297" spans="1:8">
      <c r="A297" t="str">
        <f>'Cleaned Data'!A297</f>
        <v>STR-1074</v>
      </c>
      <c r="B297" s="3">
        <f>'Cleaned Data'!B297</f>
        <v>45748</v>
      </c>
      <c r="C297">
        <f>IF('Cleaned Data'!C297="West", 1, 0)</f>
        <v>1</v>
      </c>
      <c r="D297">
        <f>IF('Cleaned Data'!C297="North", 1, 0)</f>
        <v>0</v>
      </c>
      <c r="E297">
        <f>IF('Cleaned Data'!C297="South", 1, 0)</f>
        <v>0</v>
      </c>
      <c r="F297">
        <f>IF('Cleaned Data'!D297="High Street", 1, 0)</f>
        <v>1</v>
      </c>
      <c r="G297">
        <f>IF('Cleaned Data'!D297="Residential", 1, 0)</f>
        <v>0</v>
      </c>
      <c r="H297">
        <f>IF('Cleaned Data'!D297="Airport", 1, 0)</f>
        <v>0</v>
      </c>
    </row>
    <row r="298" spans="1:8">
      <c r="A298" t="str">
        <f>'Cleaned Data'!A298</f>
        <v>STR-1075</v>
      </c>
      <c r="B298" s="3">
        <f>'Cleaned Data'!B298</f>
        <v>45658</v>
      </c>
      <c r="C298">
        <f>IF('Cleaned Data'!C298="West", 1, 0)</f>
        <v>1</v>
      </c>
      <c r="D298">
        <f>IF('Cleaned Data'!C298="North", 1, 0)</f>
        <v>0</v>
      </c>
      <c r="E298">
        <f>IF('Cleaned Data'!C298="South", 1, 0)</f>
        <v>0</v>
      </c>
      <c r="F298">
        <f>IF('Cleaned Data'!D298="High Street", 1, 0)</f>
        <v>1</v>
      </c>
      <c r="G298">
        <f>IF('Cleaned Data'!D298="Residential", 1, 0)</f>
        <v>0</v>
      </c>
      <c r="H298">
        <f>IF('Cleaned Data'!D298="Airport", 1, 0)</f>
        <v>0</v>
      </c>
    </row>
    <row r="299" spans="1:8">
      <c r="A299" t="str">
        <f>'Cleaned Data'!A299</f>
        <v>STR-1075</v>
      </c>
      <c r="B299" s="3">
        <f>'Cleaned Data'!B299</f>
        <v>45689</v>
      </c>
      <c r="C299">
        <f>IF('Cleaned Data'!C299="West", 1, 0)</f>
        <v>1</v>
      </c>
      <c r="D299">
        <f>IF('Cleaned Data'!C299="North", 1, 0)</f>
        <v>0</v>
      </c>
      <c r="E299">
        <f>IF('Cleaned Data'!C299="South", 1, 0)</f>
        <v>0</v>
      </c>
      <c r="F299">
        <f>IF('Cleaned Data'!D299="High Street", 1, 0)</f>
        <v>1</v>
      </c>
      <c r="G299">
        <f>IF('Cleaned Data'!D299="Residential", 1, 0)</f>
        <v>0</v>
      </c>
      <c r="H299">
        <f>IF('Cleaned Data'!D299="Airport", 1, 0)</f>
        <v>0</v>
      </c>
    </row>
    <row r="300" spans="1:8">
      <c r="A300" t="str">
        <f>'Cleaned Data'!A300</f>
        <v>STR-1075</v>
      </c>
      <c r="B300" s="3">
        <f>'Cleaned Data'!B300</f>
        <v>45717</v>
      </c>
      <c r="C300">
        <f>IF('Cleaned Data'!C300="West", 1, 0)</f>
        <v>1</v>
      </c>
      <c r="D300">
        <f>IF('Cleaned Data'!C300="North", 1, 0)</f>
        <v>0</v>
      </c>
      <c r="E300">
        <f>IF('Cleaned Data'!C300="South", 1, 0)</f>
        <v>0</v>
      </c>
      <c r="F300">
        <f>IF('Cleaned Data'!D300="High Street", 1, 0)</f>
        <v>1</v>
      </c>
      <c r="G300">
        <f>IF('Cleaned Data'!D300="Residential", 1, 0)</f>
        <v>0</v>
      </c>
      <c r="H300">
        <f>IF('Cleaned Data'!D300="Airport", 1, 0)</f>
        <v>0</v>
      </c>
    </row>
    <row r="301" spans="1:8">
      <c r="A301" t="str">
        <f>'Cleaned Data'!A301</f>
        <v>STR-1075</v>
      </c>
      <c r="B301" s="3">
        <f>'Cleaned Data'!B301</f>
        <v>45748</v>
      </c>
      <c r="C301">
        <f>IF('Cleaned Data'!C301="West", 1, 0)</f>
        <v>1</v>
      </c>
      <c r="D301">
        <f>IF('Cleaned Data'!C301="North", 1, 0)</f>
        <v>0</v>
      </c>
      <c r="E301">
        <f>IF('Cleaned Data'!C301="South", 1, 0)</f>
        <v>0</v>
      </c>
      <c r="F301">
        <f>IF('Cleaned Data'!D301="High Street", 1, 0)</f>
        <v>1</v>
      </c>
      <c r="G301">
        <f>IF('Cleaned Data'!D301="Residential", 1, 0)</f>
        <v>0</v>
      </c>
      <c r="H301">
        <f>IF('Cleaned Data'!D301="Airport", 1, 0)</f>
        <v>0</v>
      </c>
    </row>
    <row r="302" spans="1:8">
      <c r="A302" t="str">
        <f>'Cleaned Data'!A302</f>
        <v>STR-1076</v>
      </c>
      <c r="B302" s="3">
        <f>'Cleaned Data'!B302</f>
        <v>45658</v>
      </c>
      <c r="C302">
        <f>IF('Cleaned Data'!C302="West", 1, 0)</f>
        <v>0</v>
      </c>
      <c r="D302">
        <f>IF('Cleaned Data'!C302="North", 1, 0)</f>
        <v>1</v>
      </c>
      <c r="E302">
        <f>IF('Cleaned Data'!C302="South", 1, 0)</f>
        <v>0</v>
      </c>
      <c r="F302">
        <f>IF('Cleaned Data'!D302="High Street", 1, 0)</f>
        <v>0</v>
      </c>
      <c r="G302">
        <f>IF('Cleaned Data'!D302="Residential", 1, 0)</f>
        <v>0</v>
      </c>
      <c r="H302">
        <f>IF('Cleaned Data'!D302="Airport", 1, 0)</f>
        <v>0</v>
      </c>
    </row>
    <row r="303" spans="1:8">
      <c r="A303" t="str">
        <f>'Cleaned Data'!A303</f>
        <v>STR-1076</v>
      </c>
      <c r="B303" s="3">
        <f>'Cleaned Data'!B303</f>
        <v>45689</v>
      </c>
      <c r="C303">
        <f>IF('Cleaned Data'!C303="West", 1, 0)</f>
        <v>0</v>
      </c>
      <c r="D303">
        <f>IF('Cleaned Data'!C303="North", 1, 0)</f>
        <v>1</v>
      </c>
      <c r="E303">
        <f>IF('Cleaned Data'!C303="South", 1, 0)</f>
        <v>0</v>
      </c>
      <c r="F303">
        <f>IF('Cleaned Data'!D303="High Street", 1, 0)</f>
        <v>0</v>
      </c>
      <c r="G303">
        <f>IF('Cleaned Data'!D303="Residential", 1, 0)</f>
        <v>0</v>
      </c>
      <c r="H303">
        <f>IF('Cleaned Data'!D303="Airport", 1, 0)</f>
        <v>0</v>
      </c>
    </row>
    <row r="304" spans="1:8">
      <c r="A304" t="str">
        <f>'Cleaned Data'!A304</f>
        <v>STR-1076</v>
      </c>
      <c r="B304" s="3">
        <f>'Cleaned Data'!B304</f>
        <v>45717</v>
      </c>
      <c r="C304">
        <f>IF('Cleaned Data'!C304="West", 1, 0)</f>
        <v>0</v>
      </c>
      <c r="D304">
        <f>IF('Cleaned Data'!C304="North", 1, 0)</f>
        <v>1</v>
      </c>
      <c r="E304">
        <f>IF('Cleaned Data'!C304="South", 1, 0)</f>
        <v>0</v>
      </c>
      <c r="F304">
        <f>IF('Cleaned Data'!D304="High Street", 1, 0)</f>
        <v>0</v>
      </c>
      <c r="G304">
        <f>IF('Cleaned Data'!D304="Residential", 1, 0)</f>
        <v>0</v>
      </c>
      <c r="H304">
        <f>IF('Cleaned Data'!D304="Airport", 1, 0)</f>
        <v>0</v>
      </c>
    </row>
    <row r="305" spans="1:8">
      <c r="A305" t="str">
        <f>'Cleaned Data'!A305</f>
        <v>STR-1076</v>
      </c>
      <c r="B305" s="3">
        <f>'Cleaned Data'!B305</f>
        <v>45748</v>
      </c>
      <c r="C305">
        <f>IF('Cleaned Data'!C305="West", 1, 0)</f>
        <v>0</v>
      </c>
      <c r="D305">
        <f>IF('Cleaned Data'!C305="North", 1, 0)</f>
        <v>1</v>
      </c>
      <c r="E305">
        <f>IF('Cleaned Data'!C305="South", 1, 0)</f>
        <v>0</v>
      </c>
      <c r="F305">
        <f>IF('Cleaned Data'!D305="High Street", 1, 0)</f>
        <v>0</v>
      </c>
      <c r="G305">
        <f>IF('Cleaned Data'!D305="Residential", 1, 0)</f>
        <v>0</v>
      </c>
      <c r="H305">
        <f>IF('Cleaned Data'!D305="Airport", 1, 0)</f>
        <v>0</v>
      </c>
    </row>
    <row r="306" spans="1:8">
      <c r="A306" t="str">
        <f>'Cleaned Data'!A306</f>
        <v>STR-1077</v>
      </c>
      <c r="B306" s="3">
        <f>'Cleaned Data'!B306</f>
        <v>45658</v>
      </c>
      <c r="C306">
        <f>IF('Cleaned Data'!C306="West", 1, 0)</f>
        <v>0</v>
      </c>
      <c r="D306">
        <f>IF('Cleaned Data'!C306="North", 1, 0)</f>
        <v>0</v>
      </c>
      <c r="E306">
        <f>IF('Cleaned Data'!C306="South", 1, 0)</f>
        <v>1</v>
      </c>
      <c r="F306">
        <f>IF('Cleaned Data'!D306="High Street", 1, 0)</f>
        <v>0</v>
      </c>
      <c r="G306">
        <f>IF('Cleaned Data'!D306="Residential", 1, 0)</f>
        <v>1</v>
      </c>
      <c r="H306">
        <f>IF('Cleaned Data'!D306="Airport", 1, 0)</f>
        <v>0</v>
      </c>
    </row>
    <row r="307" spans="1:8">
      <c r="A307" t="str">
        <f>'Cleaned Data'!A307</f>
        <v>STR-1077</v>
      </c>
      <c r="B307" s="3">
        <f>'Cleaned Data'!B307</f>
        <v>45689</v>
      </c>
      <c r="C307">
        <f>IF('Cleaned Data'!C307="West", 1, 0)</f>
        <v>0</v>
      </c>
      <c r="D307">
        <f>IF('Cleaned Data'!C307="North", 1, 0)</f>
        <v>0</v>
      </c>
      <c r="E307">
        <f>IF('Cleaned Data'!C307="South", 1, 0)</f>
        <v>1</v>
      </c>
      <c r="F307">
        <f>IF('Cleaned Data'!D307="High Street", 1, 0)</f>
        <v>0</v>
      </c>
      <c r="G307">
        <f>IF('Cleaned Data'!D307="Residential", 1, 0)</f>
        <v>1</v>
      </c>
      <c r="H307">
        <f>IF('Cleaned Data'!D307="Airport", 1, 0)</f>
        <v>0</v>
      </c>
    </row>
    <row r="308" spans="1:8">
      <c r="A308" t="str">
        <f>'Cleaned Data'!A308</f>
        <v>STR-1077</v>
      </c>
      <c r="B308" s="3">
        <f>'Cleaned Data'!B308</f>
        <v>45717</v>
      </c>
      <c r="C308">
        <f>IF('Cleaned Data'!C308="West", 1, 0)</f>
        <v>0</v>
      </c>
      <c r="D308">
        <f>IF('Cleaned Data'!C308="North", 1, 0)</f>
        <v>0</v>
      </c>
      <c r="E308">
        <f>IF('Cleaned Data'!C308="South", 1, 0)</f>
        <v>1</v>
      </c>
      <c r="F308">
        <f>IF('Cleaned Data'!D308="High Street", 1, 0)</f>
        <v>0</v>
      </c>
      <c r="G308">
        <f>IF('Cleaned Data'!D308="Residential", 1, 0)</f>
        <v>1</v>
      </c>
      <c r="H308">
        <f>IF('Cleaned Data'!D308="Airport", 1, 0)</f>
        <v>0</v>
      </c>
    </row>
    <row r="309" spans="1:8">
      <c r="A309" t="str">
        <f>'Cleaned Data'!A309</f>
        <v>STR-1077</v>
      </c>
      <c r="B309" s="3">
        <f>'Cleaned Data'!B309</f>
        <v>45748</v>
      </c>
      <c r="C309">
        <f>IF('Cleaned Data'!C309="West", 1, 0)</f>
        <v>0</v>
      </c>
      <c r="D309">
        <f>IF('Cleaned Data'!C309="North", 1, 0)</f>
        <v>0</v>
      </c>
      <c r="E309">
        <f>IF('Cleaned Data'!C309="South", 1, 0)</f>
        <v>1</v>
      </c>
      <c r="F309">
        <f>IF('Cleaned Data'!D309="High Street", 1, 0)</f>
        <v>0</v>
      </c>
      <c r="G309">
        <f>IF('Cleaned Data'!D309="Residential", 1, 0)</f>
        <v>1</v>
      </c>
      <c r="H309">
        <f>IF('Cleaned Data'!D309="Airport", 1, 0)</f>
        <v>0</v>
      </c>
    </row>
    <row r="310" spans="1:8">
      <c r="A310" t="str">
        <f>'Cleaned Data'!A310</f>
        <v>STR-1078</v>
      </c>
      <c r="B310" s="3">
        <f>'Cleaned Data'!B310</f>
        <v>45658</v>
      </c>
      <c r="C310">
        <f>IF('Cleaned Data'!C310="West", 1, 0)</f>
        <v>0</v>
      </c>
      <c r="D310">
        <f>IF('Cleaned Data'!C310="North", 1, 0)</f>
        <v>0</v>
      </c>
      <c r="E310">
        <f>IF('Cleaned Data'!C310="South", 1, 0)</f>
        <v>1</v>
      </c>
      <c r="F310">
        <f>IF('Cleaned Data'!D310="High Street", 1, 0)</f>
        <v>1</v>
      </c>
      <c r="G310">
        <f>IF('Cleaned Data'!D310="Residential", 1, 0)</f>
        <v>0</v>
      </c>
      <c r="H310">
        <f>IF('Cleaned Data'!D310="Airport", 1, 0)</f>
        <v>0</v>
      </c>
    </row>
    <row r="311" spans="1:8">
      <c r="A311" t="str">
        <f>'Cleaned Data'!A311</f>
        <v>STR-1078</v>
      </c>
      <c r="B311" s="3">
        <f>'Cleaned Data'!B311</f>
        <v>45689</v>
      </c>
      <c r="C311">
        <f>IF('Cleaned Data'!C311="West", 1, 0)</f>
        <v>0</v>
      </c>
      <c r="D311">
        <f>IF('Cleaned Data'!C311="North", 1, 0)</f>
        <v>0</v>
      </c>
      <c r="E311">
        <f>IF('Cleaned Data'!C311="South", 1, 0)</f>
        <v>1</v>
      </c>
      <c r="F311">
        <f>IF('Cleaned Data'!D311="High Street", 1, 0)</f>
        <v>1</v>
      </c>
      <c r="G311">
        <f>IF('Cleaned Data'!D311="Residential", 1, 0)</f>
        <v>0</v>
      </c>
      <c r="H311">
        <f>IF('Cleaned Data'!D311="Airport", 1, 0)</f>
        <v>0</v>
      </c>
    </row>
    <row r="312" spans="1:8">
      <c r="A312" t="str">
        <f>'Cleaned Data'!A312</f>
        <v>STR-1078</v>
      </c>
      <c r="B312" s="3">
        <f>'Cleaned Data'!B312</f>
        <v>45717</v>
      </c>
      <c r="C312">
        <f>IF('Cleaned Data'!C312="West", 1, 0)</f>
        <v>0</v>
      </c>
      <c r="D312">
        <f>IF('Cleaned Data'!C312="North", 1, 0)</f>
        <v>0</v>
      </c>
      <c r="E312">
        <f>IF('Cleaned Data'!C312="South", 1, 0)</f>
        <v>1</v>
      </c>
      <c r="F312">
        <f>IF('Cleaned Data'!D312="High Street", 1, 0)</f>
        <v>1</v>
      </c>
      <c r="G312">
        <f>IF('Cleaned Data'!D312="Residential", 1, 0)</f>
        <v>0</v>
      </c>
      <c r="H312">
        <f>IF('Cleaned Data'!D312="Airport", 1, 0)</f>
        <v>0</v>
      </c>
    </row>
    <row r="313" spans="1:8">
      <c r="A313" t="str">
        <f>'Cleaned Data'!A313</f>
        <v>STR-1078</v>
      </c>
      <c r="B313" s="3">
        <f>'Cleaned Data'!B313</f>
        <v>45748</v>
      </c>
      <c r="C313">
        <f>IF('Cleaned Data'!C313="West", 1, 0)</f>
        <v>0</v>
      </c>
      <c r="D313">
        <f>IF('Cleaned Data'!C313="North", 1, 0)</f>
        <v>0</v>
      </c>
      <c r="E313">
        <f>IF('Cleaned Data'!C313="South", 1, 0)</f>
        <v>1</v>
      </c>
      <c r="F313">
        <f>IF('Cleaned Data'!D313="High Street", 1, 0)</f>
        <v>1</v>
      </c>
      <c r="G313">
        <f>IF('Cleaned Data'!D313="Residential", 1, 0)</f>
        <v>0</v>
      </c>
      <c r="H313">
        <f>IF('Cleaned Data'!D313="Airport", 1, 0)</f>
        <v>0</v>
      </c>
    </row>
    <row r="314" spans="1:8">
      <c r="A314" t="str">
        <f>'Cleaned Data'!A314</f>
        <v>STR-1079</v>
      </c>
      <c r="B314" s="3">
        <f>'Cleaned Data'!B314</f>
        <v>45658</v>
      </c>
      <c r="C314">
        <f>IF('Cleaned Data'!C314="West", 1, 0)</f>
        <v>0</v>
      </c>
      <c r="D314">
        <f>IF('Cleaned Data'!C314="North", 1, 0)</f>
        <v>1</v>
      </c>
      <c r="E314">
        <f>IF('Cleaned Data'!C314="South", 1, 0)</f>
        <v>0</v>
      </c>
      <c r="F314">
        <f>IF('Cleaned Data'!D314="High Street", 1, 0)</f>
        <v>0</v>
      </c>
      <c r="G314">
        <f>IF('Cleaned Data'!D314="Residential", 1, 0)</f>
        <v>1</v>
      </c>
      <c r="H314">
        <f>IF('Cleaned Data'!D314="Airport", 1, 0)</f>
        <v>0</v>
      </c>
    </row>
    <row r="315" spans="1:8">
      <c r="A315" t="str">
        <f>'Cleaned Data'!A315</f>
        <v>STR-1079</v>
      </c>
      <c r="B315" s="3">
        <f>'Cleaned Data'!B315</f>
        <v>45689</v>
      </c>
      <c r="C315">
        <f>IF('Cleaned Data'!C315="West", 1, 0)</f>
        <v>0</v>
      </c>
      <c r="D315">
        <f>IF('Cleaned Data'!C315="North", 1, 0)</f>
        <v>1</v>
      </c>
      <c r="E315">
        <f>IF('Cleaned Data'!C315="South", 1, 0)</f>
        <v>0</v>
      </c>
      <c r="F315">
        <f>IF('Cleaned Data'!D315="High Street", 1, 0)</f>
        <v>0</v>
      </c>
      <c r="G315">
        <f>IF('Cleaned Data'!D315="Residential", 1, 0)</f>
        <v>1</v>
      </c>
      <c r="H315">
        <f>IF('Cleaned Data'!D315="Airport", 1, 0)</f>
        <v>0</v>
      </c>
    </row>
    <row r="316" spans="1:8">
      <c r="A316" t="str">
        <f>'Cleaned Data'!A316</f>
        <v>STR-1079</v>
      </c>
      <c r="B316" s="3">
        <f>'Cleaned Data'!B316</f>
        <v>45717</v>
      </c>
      <c r="C316">
        <f>IF('Cleaned Data'!C316="West", 1, 0)</f>
        <v>0</v>
      </c>
      <c r="D316">
        <f>IF('Cleaned Data'!C316="North", 1, 0)</f>
        <v>1</v>
      </c>
      <c r="E316">
        <f>IF('Cleaned Data'!C316="South", 1, 0)</f>
        <v>0</v>
      </c>
      <c r="F316">
        <f>IF('Cleaned Data'!D316="High Street", 1, 0)</f>
        <v>0</v>
      </c>
      <c r="G316">
        <f>IF('Cleaned Data'!D316="Residential", 1, 0)</f>
        <v>1</v>
      </c>
      <c r="H316">
        <f>IF('Cleaned Data'!D316="Airport", 1, 0)</f>
        <v>0</v>
      </c>
    </row>
    <row r="317" spans="1:8">
      <c r="A317" t="str">
        <f>'Cleaned Data'!A317</f>
        <v>STR-1079</v>
      </c>
      <c r="B317" s="3">
        <f>'Cleaned Data'!B317</f>
        <v>45748</v>
      </c>
      <c r="C317">
        <f>IF('Cleaned Data'!C317="West", 1, 0)</f>
        <v>0</v>
      </c>
      <c r="D317">
        <f>IF('Cleaned Data'!C317="North", 1, 0)</f>
        <v>1</v>
      </c>
      <c r="E317">
        <f>IF('Cleaned Data'!C317="South", 1, 0)</f>
        <v>0</v>
      </c>
      <c r="F317">
        <f>IF('Cleaned Data'!D317="High Street", 1, 0)</f>
        <v>0</v>
      </c>
      <c r="G317">
        <f>IF('Cleaned Data'!D317="Residential", 1, 0)</f>
        <v>1</v>
      </c>
      <c r="H317">
        <f>IF('Cleaned Data'!D317="Airport", 1, 0)</f>
        <v>0</v>
      </c>
    </row>
    <row r="318" spans="1:8">
      <c r="A318" t="str">
        <f>'Cleaned Data'!A318</f>
        <v>STR-1080</v>
      </c>
      <c r="B318" s="3">
        <f>'Cleaned Data'!B318</f>
        <v>45658</v>
      </c>
      <c r="C318">
        <f>IF('Cleaned Data'!C318="West", 1, 0)</f>
        <v>0</v>
      </c>
      <c r="D318">
        <f>IF('Cleaned Data'!C318="North", 1, 0)</f>
        <v>0</v>
      </c>
      <c r="E318">
        <f>IF('Cleaned Data'!C318="South", 1, 0)</f>
        <v>0</v>
      </c>
      <c r="F318">
        <f>IF('Cleaned Data'!D318="High Street", 1, 0)</f>
        <v>0</v>
      </c>
      <c r="G318">
        <f>IF('Cleaned Data'!D318="Residential", 1, 0)</f>
        <v>1</v>
      </c>
      <c r="H318">
        <f>IF('Cleaned Data'!D318="Airport", 1, 0)</f>
        <v>0</v>
      </c>
    </row>
    <row r="319" spans="1:8">
      <c r="A319" t="str">
        <f>'Cleaned Data'!A319</f>
        <v>STR-1080</v>
      </c>
      <c r="B319" s="3">
        <f>'Cleaned Data'!B319</f>
        <v>45689</v>
      </c>
      <c r="C319">
        <f>IF('Cleaned Data'!C319="West", 1, 0)</f>
        <v>0</v>
      </c>
      <c r="D319">
        <f>IF('Cleaned Data'!C319="North", 1, 0)</f>
        <v>0</v>
      </c>
      <c r="E319">
        <f>IF('Cleaned Data'!C319="South", 1, 0)</f>
        <v>0</v>
      </c>
      <c r="F319">
        <f>IF('Cleaned Data'!D319="High Street", 1, 0)</f>
        <v>0</v>
      </c>
      <c r="G319">
        <f>IF('Cleaned Data'!D319="Residential", 1, 0)</f>
        <v>1</v>
      </c>
      <c r="H319">
        <f>IF('Cleaned Data'!D319="Airport", 1, 0)</f>
        <v>0</v>
      </c>
    </row>
    <row r="320" spans="1:8">
      <c r="A320" t="str">
        <f>'Cleaned Data'!A320</f>
        <v>STR-1080</v>
      </c>
      <c r="B320" s="3">
        <f>'Cleaned Data'!B320</f>
        <v>45717</v>
      </c>
      <c r="C320">
        <f>IF('Cleaned Data'!C320="West", 1, 0)</f>
        <v>0</v>
      </c>
      <c r="D320">
        <f>IF('Cleaned Data'!C320="North", 1, 0)</f>
        <v>0</v>
      </c>
      <c r="E320">
        <f>IF('Cleaned Data'!C320="South", 1, 0)</f>
        <v>0</v>
      </c>
      <c r="F320">
        <f>IF('Cleaned Data'!D320="High Street", 1, 0)</f>
        <v>0</v>
      </c>
      <c r="G320">
        <f>IF('Cleaned Data'!D320="Residential", 1, 0)</f>
        <v>1</v>
      </c>
      <c r="H320">
        <f>IF('Cleaned Data'!D320="Airport", 1, 0)</f>
        <v>0</v>
      </c>
    </row>
    <row r="321" spans="1:8">
      <c r="A321" t="str">
        <f>'Cleaned Data'!A321</f>
        <v>STR-1080</v>
      </c>
      <c r="B321" s="3">
        <f>'Cleaned Data'!B321</f>
        <v>45748</v>
      </c>
      <c r="C321">
        <f>IF('Cleaned Data'!C321="West", 1, 0)</f>
        <v>0</v>
      </c>
      <c r="D321">
        <f>IF('Cleaned Data'!C321="North", 1, 0)</f>
        <v>0</v>
      </c>
      <c r="E321">
        <f>IF('Cleaned Data'!C321="South", 1, 0)</f>
        <v>0</v>
      </c>
      <c r="F321">
        <f>IF('Cleaned Data'!D321="High Street", 1, 0)</f>
        <v>0</v>
      </c>
      <c r="G321">
        <f>IF('Cleaned Data'!D321="Residential", 1, 0)</f>
        <v>1</v>
      </c>
      <c r="H321">
        <f>IF('Cleaned Data'!D321="Airport", 1, 0)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abSelected="1" workbookViewId="0"/>
  </sheetViews>
  <sheetFormatPr defaultColWidth="8.796875" defaultRowHeight="13.8"/>
  <cols>
    <col min="1" max="2" width="28" customWidth="1"/>
  </cols>
  <sheetData>
    <row r="1" spans="1:2" ht="37.200000000000003" customHeight="1">
      <c r="A1" s="2" t="s">
        <v>159</v>
      </c>
      <c r="B1" s="2" t="s">
        <v>102</v>
      </c>
    </row>
    <row r="2" spans="1:2">
      <c r="A2" s="4" t="s">
        <v>0</v>
      </c>
      <c r="B2" s="4" t="s">
        <v>103</v>
      </c>
    </row>
    <row r="3" spans="1:2">
      <c r="A3" s="4" t="s">
        <v>1</v>
      </c>
      <c r="B3" s="4" t="s">
        <v>104</v>
      </c>
    </row>
    <row r="4" spans="1:2">
      <c r="A4" s="4" t="s">
        <v>2</v>
      </c>
      <c r="B4" s="4" t="s">
        <v>105</v>
      </c>
    </row>
    <row r="5" spans="1:2" ht="27.6">
      <c r="A5" s="4" t="s">
        <v>3</v>
      </c>
      <c r="B5" s="4" t="s">
        <v>106</v>
      </c>
    </row>
    <row r="6" spans="1:2" ht="27.6">
      <c r="A6" s="4" t="s">
        <v>4</v>
      </c>
      <c r="B6" s="4" t="s">
        <v>107</v>
      </c>
    </row>
    <row r="7" spans="1:2">
      <c r="A7" s="4" t="s">
        <v>5</v>
      </c>
      <c r="B7" s="4" t="s">
        <v>108</v>
      </c>
    </row>
    <row r="8" spans="1:2" ht="27.6">
      <c r="A8" s="4" t="s">
        <v>6</v>
      </c>
      <c r="B8" s="4" t="s">
        <v>109</v>
      </c>
    </row>
    <row r="9" spans="1:2">
      <c r="A9" s="4" t="s">
        <v>7</v>
      </c>
      <c r="B9" s="4" t="s">
        <v>110</v>
      </c>
    </row>
    <row r="10" spans="1:2" ht="27.6">
      <c r="A10" s="4" t="s">
        <v>8</v>
      </c>
      <c r="B10" s="4" t="s">
        <v>111</v>
      </c>
    </row>
    <row r="11" spans="1:2">
      <c r="A11" s="4" t="s">
        <v>9</v>
      </c>
      <c r="B11" s="4" t="s">
        <v>112</v>
      </c>
    </row>
    <row r="12" spans="1:2" ht="41.4">
      <c r="A12" s="4" t="s">
        <v>10</v>
      </c>
      <c r="B12" s="4" t="s">
        <v>113</v>
      </c>
    </row>
    <row r="13" spans="1:2">
      <c r="A13" s="4" t="s">
        <v>11</v>
      </c>
      <c r="B13" s="4" t="s">
        <v>114</v>
      </c>
    </row>
    <row r="14" spans="1:2" ht="27.6">
      <c r="A14" s="4" t="s">
        <v>12</v>
      </c>
      <c r="B14" s="4" t="s">
        <v>115</v>
      </c>
    </row>
    <row r="15" spans="1:2" ht="27.6">
      <c r="A15" s="4" t="s">
        <v>13</v>
      </c>
      <c r="B15" s="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</vt:lpstr>
      <vt:lpstr>Cleaned Data</vt:lpstr>
      <vt:lpstr>SRMODEL 1</vt:lpstr>
      <vt:lpstr>SRMODEL 2</vt:lpstr>
      <vt:lpstr>MR Input</vt:lpstr>
      <vt:lpstr>MR Output</vt:lpstr>
      <vt:lpstr>Dummy Variables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Anupam Mardhekar</cp:lastModifiedBy>
  <dcterms:created xsi:type="dcterms:W3CDTF">2026-06-25T19:09:17Z</dcterms:created>
  <dcterms:modified xsi:type="dcterms:W3CDTF">2026-06-27T19:42:50Z</dcterms:modified>
</cp:coreProperties>
</file>